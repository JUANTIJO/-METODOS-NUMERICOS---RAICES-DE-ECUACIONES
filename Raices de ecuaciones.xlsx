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d_Hunter\Documents\analisis numerico\"/>
    </mc:Choice>
  </mc:AlternateContent>
  <bookViews>
    <workbookView xWindow="0" yWindow="0" windowWidth="12630" windowHeight="6750"/>
  </bookViews>
  <sheets>
    <sheet name="Ejercicio1_B" sheetId="1" r:id="rId1"/>
    <sheet name="Ejercicio1_N" sheetId="2" r:id="rId2"/>
    <sheet name="Ejercicio1_S" sheetId="3" r:id="rId3"/>
    <sheet name="Ejercicio2_B" sheetId="4" r:id="rId4"/>
    <sheet name="Ejercicio2_N" sheetId="5" r:id="rId5"/>
    <sheet name="Ejercicio2_S" sheetId="6" r:id="rId6"/>
    <sheet name="Ejercicio3_B" sheetId="7" r:id="rId7"/>
    <sheet name="Ejercicio3_N" sheetId="8" r:id="rId8"/>
    <sheet name="Ejercicio3_S" sheetId="9" r:id="rId9"/>
    <sheet name="Ejercicio4_B" sheetId="10" r:id="rId10"/>
    <sheet name="Ejercicio4_N" sheetId="11" r:id="rId11"/>
    <sheet name="Ejercicio4_S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2" l="1"/>
  <c r="B5" i="12"/>
  <c r="C5" i="12"/>
  <c r="E5" i="12" s="1"/>
  <c r="D5" i="12"/>
  <c r="A6" i="12"/>
  <c r="A7" i="12" s="1"/>
  <c r="G4" i="12"/>
  <c r="F4" i="12"/>
  <c r="E4" i="12"/>
  <c r="D4" i="12"/>
  <c r="C4" i="12"/>
  <c r="B4" i="12"/>
  <c r="A4" i="12"/>
  <c r="G3" i="12"/>
  <c r="F3" i="12"/>
  <c r="E3" i="12"/>
  <c r="D3" i="12"/>
  <c r="A5" i="11"/>
  <c r="B5" i="11"/>
  <c r="C5" i="11" s="1"/>
  <c r="D5" i="11"/>
  <c r="A6" i="11"/>
  <c r="A7" i="11" s="1"/>
  <c r="F4" i="11"/>
  <c r="E4" i="11"/>
  <c r="D4" i="11"/>
  <c r="C4" i="11"/>
  <c r="B4" i="11"/>
  <c r="A4" i="11"/>
  <c r="F3" i="11"/>
  <c r="E3" i="11"/>
  <c r="D3" i="11"/>
  <c r="C3" i="11"/>
  <c r="A5" i="10"/>
  <c r="A6" i="10"/>
  <c r="A7" i="10"/>
  <c r="A8" i="10" s="1"/>
  <c r="A9" i="10" s="1"/>
  <c r="A10" i="10" s="1"/>
  <c r="A11" i="10" s="1"/>
  <c r="A4" i="10"/>
  <c r="I3" i="10"/>
  <c r="G3" i="10"/>
  <c r="H3" i="10" s="1"/>
  <c r="F3" i="10"/>
  <c r="E3" i="10"/>
  <c r="D3" i="10"/>
  <c r="A5" i="9"/>
  <c r="A6" i="9"/>
  <c r="A7" i="9" s="1"/>
  <c r="A8" i="9" s="1"/>
  <c r="A9" i="9" s="1"/>
  <c r="B4" i="9"/>
  <c r="D4" i="9" s="1"/>
  <c r="A4" i="9"/>
  <c r="E3" i="9"/>
  <c r="D3" i="9"/>
  <c r="A5" i="8"/>
  <c r="A6" i="8"/>
  <c r="A7" i="8" s="1"/>
  <c r="A8" i="8" s="1"/>
  <c r="A4" i="8"/>
  <c r="D3" i="8"/>
  <c r="C3" i="8"/>
  <c r="E3" i="8" s="1"/>
  <c r="A5" i="7"/>
  <c r="A6" i="7"/>
  <c r="A7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4" i="7"/>
  <c r="I3" i="7"/>
  <c r="F3" i="7"/>
  <c r="E3" i="7"/>
  <c r="D3" i="7"/>
  <c r="G3" i="7" s="1"/>
  <c r="A5" i="6"/>
  <c r="A6" i="6" s="1"/>
  <c r="A7" i="6" s="1"/>
  <c r="A8" i="6" s="1"/>
  <c r="D4" i="6"/>
  <c r="B4" i="6"/>
  <c r="A4" i="6"/>
  <c r="E3" i="6"/>
  <c r="F3" i="6" s="1"/>
  <c r="D3" i="6"/>
  <c r="A5" i="5"/>
  <c r="A6" i="5" s="1"/>
  <c r="A7" i="5" s="1"/>
  <c r="A8" i="5" s="1"/>
  <c r="A4" i="5"/>
  <c r="D3" i="5"/>
  <c r="C3" i="5"/>
  <c r="E3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I3" i="4"/>
  <c r="F3" i="4"/>
  <c r="E3" i="4"/>
  <c r="D3" i="4"/>
  <c r="G3" i="4" s="1"/>
  <c r="A6" i="3"/>
  <c r="A7" i="3" s="1"/>
  <c r="A8" i="3" s="1"/>
  <c r="A9" i="3" s="1"/>
  <c r="B5" i="3"/>
  <c r="A5" i="3"/>
  <c r="E4" i="3"/>
  <c r="D4" i="3"/>
  <c r="E5" i="3" s="1"/>
  <c r="A6" i="2"/>
  <c r="A7" i="2" s="1"/>
  <c r="A8" i="2" s="1"/>
  <c r="A9" i="2" s="1"/>
  <c r="A5" i="2"/>
  <c r="D4" i="2"/>
  <c r="C4" i="2"/>
  <c r="B5" i="2" s="1"/>
  <c r="E6" i="1"/>
  <c r="F6" i="1" s="1"/>
  <c r="D6" i="1"/>
  <c r="C6" i="1"/>
  <c r="C2" i="1"/>
  <c r="B2" i="1"/>
  <c r="C4" i="10" l="1"/>
  <c r="B4" i="10"/>
  <c r="F3" i="9"/>
  <c r="G3" i="9"/>
  <c r="C4" i="9"/>
  <c r="F5" i="12"/>
  <c r="B6" i="12"/>
  <c r="D6" i="12" s="1"/>
  <c r="E5" i="11"/>
  <c r="B6" i="11"/>
  <c r="F5" i="11"/>
  <c r="F3" i="8"/>
  <c r="B4" i="8"/>
  <c r="H3" i="7"/>
  <c r="B4" i="7"/>
  <c r="C4" i="7"/>
  <c r="C4" i="6"/>
  <c r="G3" i="6"/>
  <c r="F3" i="5"/>
  <c r="B4" i="5"/>
  <c r="G3" i="5"/>
  <c r="H3" i="4"/>
  <c r="C5" i="3"/>
  <c r="E5" i="2"/>
  <c r="D5" i="2"/>
  <c r="C5" i="2"/>
  <c r="B6" i="2" s="1"/>
  <c r="A7" i="1"/>
  <c r="B7" i="1"/>
  <c r="D7" i="1" s="1"/>
  <c r="E4" i="10" l="1"/>
  <c r="D4" i="10"/>
  <c r="G4" i="10" s="1"/>
  <c r="I4" i="10"/>
  <c r="F4" i="10"/>
  <c r="E4" i="9"/>
  <c r="F4" i="9" s="1"/>
  <c r="B5" i="9"/>
  <c r="D5" i="9" s="1"/>
  <c r="G5" i="12"/>
  <c r="C6" i="12"/>
  <c r="C6" i="11"/>
  <c r="D6" i="11"/>
  <c r="E6" i="11"/>
  <c r="C4" i="8"/>
  <c r="E4" i="8"/>
  <c r="D4" i="8"/>
  <c r="I4" i="7"/>
  <c r="F4" i="7"/>
  <c r="D4" i="7"/>
  <c r="G4" i="7" s="1"/>
  <c r="E4" i="7"/>
  <c r="B5" i="6"/>
  <c r="D5" i="6" s="1"/>
  <c r="E4" i="6"/>
  <c r="F4" i="6" s="1"/>
  <c r="C4" i="5"/>
  <c r="D4" i="5"/>
  <c r="E4" i="5" s="1"/>
  <c r="C4" i="4"/>
  <c r="B4" i="4"/>
  <c r="F5" i="3"/>
  <c r="D5" i="3"/>
  <c r="E6" i="3" s="1"/>
  <c r="C6" i="3"/>
  <c r="B6" i="3"/>
  <c r="D6" i="2"/>
  <c r="C6" i="2"/>
  <c r="B7" i="2" s="1"/>
  <c r="E6" i="2"/>
  <c r="E7" i="1"/>
  <c r="C7" i="1"/>
  <c r="H4" i="10" l="1"/>
  <c r="C5" i="9"/>
  <c r="G4" i="9"/>
  <c r="E6" i="12"/>
  <c r="F6" i="12" s="1"/>
  <c r="B7" i="12"/>
  <c r="D7" i="12" s="1"/>
  <c r="B7" i="11"/>
  <c r="F6" i="11"/>
  <c r="B5" i="8"/>
  <c r="F4" i="8"/>
  <c r="H4" i="7"/>
  <c r="G4" i="6"/>
  <c r="C5" i="6"/>
  <c r="G4" i="5"/>
  <c r="B5" i="5"/>
  <c r="F4" i="5"/>
  <c r="D4" i="4"/>
  <c r="G4" i="4" s="1"/>
  <c r="E4" i="4"/>
  <c r="F4" i="4"/>
  <c r="I4" i="4"/>
  <c r="B7" i="3"/>
  <c r="D6" i="3"/>
  <c r="E7" i="3" s="1"/>
  <c r="F6" i="3"/>
  <c r="C7" i="3"/>
  <c r="C7" i="2"/>
  <c r="B8" i="2" s="1"/>
  <c r="E7" i="2"/>
  <c r="D7" i="2"/>
  <c r="F7" i="1"/>
  <c r="G7" i="1"/>
  <c r="C5" i="10" l="1"/>
  <c r="B5" i="10"/>
  <c r="E5" i="9"/>
  <c r="B6" i="9"/>
  <c r="D6" i="9" s="1"/>
  <c r="F5" i="9"/>
  <c r="C7" i="12"/>
  <c r="G6" i="12"/>
  <c r="D7" i="11"/>
  <c r="C7" i="11"/>
  <c r="E7" i="11" s="1"/>
  <c r="C5" i="8"/>
  <c r="D5" i="8"/>
  <c r="B5" i="7"/>
  <c r="C5" i="7"/>
  <c r="B6" i="6"/>
  <c r="D6" i="6" s="1"/>
  <c r="E5" i="6"/>
  <c r="F5" i="6" s="1"/>
  <c r="D5" i="5"/>
  <c r="C5" i="5"/>
  <c r="E5" i="5"/>
  <c r="H4" i="4"/>
  <c r="F7" i="3"/>
  <c r="B8" i="3"/>
  <c r="D7" i="3"/>
  <c r="E8" i="3" s="1"/>
  <c r="E8" i="2"/>
  <c r="D8" i="2"/>
  <c r="C8" i="2"/>
  <c r="B9" i="2" s="1"/>
  <c r="B8" i="1"/>
  <c r="D8" i="1" s="1"/>
  <c r="A8" i="1"/>
  <c r="E5" i="10" l="1"/>
  <c r="D5" i="10"/>
  <c r="G5" i="10" s="1"/>
  <c r="I5" i="10"/>
  <c r="F5" i="10"/>
  <c r="C6" i="9"/>
  <c r="G5" i="9"/>
  <c r="E7" i="12"/>
  <c r="F7" i="12" s="1"/>
  <c r="F7" i="11"/>
  <c r="E5" i="8"/>
  <c r="I5" i="7"/>
  <c r="F5" i="7"/>
  <c r="E5" i="7"/>
  <c r="H5" i="7" s="1"/>
  <c r="D5" i="7"/>
  <c r="G5" i="7" s="1"/>
  <c r="G5" i="6"/>
  <c r="C6" i="6"/>
  <c r="B6" i="5"/>
  <c r="G5" i="5"/>
  <c r="F5" i="5"/>
  <c r="B5" i="4"/>
  <c r="C5" i="4"/>
  <c r="C8" i="3"/>
  <c r="E9" i="2"/>
  <c r="C9" i="2"/>
  <c r="D9" i="2"/>
  <c r="E8" i="1"/>
  <c r="C8" i="1"/>
  <c r="H5" i="10" l="1"/>
  <c r="E6" i="9"/>
  <c r="F6" i="9" s="1"/>
  <c r="B7" i="9"/>
  <c r="D7" i="9" s="1"/>
  <c r="G7" i="12"/>
  <c r="F5" i="8"/>
  <c r="B6" i="8"/>
  <c r="B6" i="7"/>
  <c r="C6" i="7"/>
  <c r="B7" i="6"/>
  <c r="D7" i="6" s="1"/>
  <c r="E6" i="6"/>
  <c r="F6" i="6"/>
  <c r="D6" i="5"/>
  <c r="E6" i="5" s="1"/>
  <c r="C6" i="5"/>
  <c r="F5" i="4"/>
  <c r="I5" i="4"/>
  <c r="E5" i="4"/>
  <c r="D5" i="4"/>
  <c r="G5" i="4" s="1"/>
  <c r="B9" i="3"/>
  <c r="D8" i="3"/>
  <c r="E9" i="3" s="1"/>
  <c r="F8" i="3"/>
  <c r="F8" i="1"/>
  <c r="G8" i="1"/>
  <c r="B6" i="10" l="1"/>
  <c r="C6" i="10"/>
  <c r="G6" i="9"/>
  <c r="C7" i="9"/>
  <c r="C6" i="8"/>
  <c r="D6" i="8"/>
  <c r="I6" i="7"/>
  <c r="F6" i="7"/>
  <c r="D6" i="7"/>
  <c r="G6" i="7" s="1"/>
  <c r="E6" i="7"/>
  <c r="G6" i="6"/>
  <c r="C7" i="6"/>
  <c r="B7" i="5"/>
  <c r="F6" i="5"/>
  <c r="G6" i="5"/>
  <c r="H5" i="4"/>
  <c r="C9" i="3"/>
  <c r="B9" i="1"/>
  <c r="D9" i="1" s="1"/>
  <c r="A9" i="1"/>
  <c r="I6" i="10" l="1"/>
  <c r="F6" i="10"/>
  <c r="E6" i="10"/>
  <c r="H6" i="10" s="1"/>
  <c r="D6" i="10"/>
  <c r="G6" i="10" s="1"/>
  <c r="B8" i="9"/>
  <c r="D8" i="9" s="1"/>
  <c r="E7" i="9"/>
  <c r="F7" i="9" s="1"/>
  <c r="E6" i="8"/>
  <c r="H6" i="7"/>
  <c r="B8" i="6"/>
  <c r="D8" i="6" s="1"/>
  <c r="E7" i="6"/>
  <c r="F7" i="6" s="1"/>
  <c r="C7" i="5"/>
  <c r="D7" i="5"/>
  <c r="E7" i="5" s="1"/>
  <c r="C6" i="4"/>
  <c r="B6" i="4"/>
  <c r="F9" i="3"/>
  <c r="D9" i="3"/>
  <c r="C9" i="1"/>
  <c r="E9" i="1"/>
  <c r="B7" i="10" l="1"/>
  <c r="C7" i="10"/>
  <c r="C8" i="9"/>
  <c r="G7" i="9"/>
  <c r="B7" i="8"/>
  <c r="F6" i="8"/>
  <c r="C7" i="7"/>
  <c r="B7" i="7"/>
  <c r="C8" i="6"/>
  <c r="G7" i="6"/>
  <c r="F7" i="5"/>
  <c r="G7" i="5"/>
  <c r="B8" i="5"/>
  <c r="E6" i="4"/>
  <c r="D6" i="4"/>
  <c r="G6" i="4" s="1"/>
  <c r="I6" i="4"/>
  <c r="F6" i="4"/>
  <c r="G9" i="1"/>
  <c r="F9" i="1"/>
  <c r="F7" i="10" l="1"/>
  <c r="I7" i="10"/>
  <c r="D7" i="10"/>
  <c r="G7" i="10" s="1"/>
  <c r="E7" i="10"/>
  <c r="B9" i="9"/>
  <c r="D9" i="9" s="1"/>
  <c r="E8" i="9"/>
  <c r="F8" i="9" s="1"/>
  <c r="C7" i="8"/>
  <c r="D7" i="8"/>
  <c r="E7" i="8"/>
  <c r="D7" i="7"/>
  <c r="G7" i="7" s="1"/>
  <c r="E7" i="7"/>
  <c r="H7" i="7" s="1"/>
  <c r="I7" i="7"/>
  <c r="F7" i="7"/>
  <c r="E8" i="6"/>
  <c r="F8" i="6" s="1"/>
  <c r="G8" i="6" s="1"/>
  <c r="C8" i="5"/>
  <c r="D8" i="5"/>
  <c r="E8" i="5" s="1"/>
  <c r="H6" i="4"/>
  <c r="A10" i="1"/>
  <c r="B10" i="1"/>
  <c r="D10" i="1" s="1"/>
  <c r="H7" i="10" l="1"/>
  <c r="G8" i="9"/>
  <c r="C9" i="9"/>
  <c r="E9" i="9" s="1"/>
  <c r="F9" i="9" s="1"/>
  <c r="G9" i="9" s="1"/>
  <c r="B8" i="8"/>
  <c r="F7" i="8"/>
  <c r="B8" i="7"/>
  <c r="C8" i="7"/>
  <c r="G8" i="5"/>
  <c r="F8" i="5"/>
  <c r="C7" i="4"/>
  <c r="B7" i="4"/>
  <c r="C10" i="1"/>
  <c r="E10" i="1"/>
  <c r="B8" i="10" l="1"/>
  <c r="C8" i="10"/>
  <c r="C8" i="8"/>
  <c r="D8" i="8"/>
  <c r="F8" i="7"/>
  <c r="I8" i="7"/>
  <c r="E8" i="7"/>
  <c r="D8" i="7"/>
  <c r="G8" i="7" s="1"/>
  <c r="D7" i="4"/>
  <c r="G7" i="4" s="1"/>
  <c r="E7" i="4"/>
  <c r="H7" i="4" s="1"/>
  <c r="F7" i="4"/>
  <c r="I7" i="4"/>
  <c r="G10" i="1"/>
  <c r="F10" i="1"/>
  <c r="F8" i="10" l="1"/>
  <c r="I8" i="10"/>
  <c r="D8" i="10"/>
  <c r="G8" i="10" s="1"/>
  <c r="E8" i="10"/>
  <c r="E8" i="8"/>
  <c r="F8" i="8" s="1"/>
  <c r="H8" i="7"/>
  <c r="C8" i="4"/>
  <c r="B8" i="4"/>
  <c r="A11" i="1"/>
  <c r="B11" i="1"/>
  <c r="D11" i="1" s="1"/>
  <c r="H8" i="10" l="1"/>
  <c r="B9" i="7"/>
  <c r="C9" i="7"/>
  <c r="D8" i="4"/>
  <c r="G8" i="4" s="1"/>
  <c r="E8" i="4"/>
  <c r="F8" i="4"/>
  <c r="I8" i="4"/>
  <c r="E11" i="1"/>
  <c r="C11" i="1"/>
  <c r="C9" i="10" l="1"/>
  <c r="B9" i="10"/>
  <c r="I9" i="7"/>
  <c r="F9" i="7"/>
  <c r="E9" i="7"/>
  <c r="D9" i="7"/>
  <c r="G9" i="7" s="1"/>
  <c r="H8" i="4"/>
  <c r="F11" i="1"/>
  <c r="G11" i="1"/>
  <c r="D9" i="10" l="1"/>
  <c r="G9" i="10" s="1"/>
  <c r="E9" i="10"/>
  <c r="H9" i="10" s="1"/>
  <c r="I9" i="10"/>
  <c r="F9" i="10"/>
  <c r="H9" i="7"/>
  <c r="B9" i="4"/>
  <c r="C9" i="4"/>
  <c r="B12" i="1"/>
  <c r="D12" i="1" s="1"/>
  <c r="A12" i="1"/>
  <c r="C10" i="10" l="1"/>
  <c r="B10" i="10"/>
  <c r="C10" i="7"/>
  <c r="B10" i="7"/>
  <c r="F9" i="4"/>
  <c r="I9" i="4"/>
  <c r="E9" i="4"/>
  <c r="D9" i="4"/>
  <c r="G9" i="4" s="1"/>
  <c r="E12" i="1"/>
  <c r="C12" i="1"/>
  <c r="E10" i="10" l="1"/>
  <c r="D10" i="10"/>
  <c r="G10" i="10" s="1"/>
  <c r="I10" i="10"/>
  <c r="F10" i="10"/>
  <c r="D10" i="7"/>
  <c r="G10" i="7" s="1"/>
  <c r="E10" i="7"/>
  <c r="H10" i="7" s="1"/>
  <c r="I10" i="7"/>
  <c r="F10" i="7"/>
  <c r="H9" i="4"/>
  <c r="F12" i="1"/>
  <c r="G12" i="1"/>
  <c r="H10" i="10" l="1"/>
  <c r="C11" i="7"/>
  <c r="B11" i="7"/>
  <c r="B10" i="4"/>
  <c r="C10" i="4"/>
  <c r="B13" i="1"/>
  <c r="D13" i="1" s="1"/>
  <c r="A13" i="1"/>
  <c r="C11" i="10" l="1"/>
  <c r="B11" i="10"/>
  <c r="D11" i="7"/>
  <c r="G11" i="7" s="1"/>
  <c r="E11" i="7"/>
  <c r="H11" i="7" s="1"/>
  <c r="I11" i="7"/>
  <c r="F11" i="7"/>
  <c r="I10" i="4"/>
  <c r="F10" i="4"/>
  <c r="E10" i="4"/>
  <c r="D10" i="4"/>
  <c r="G10" i="4" s="1"/>
  <c r="C13" i="1"/>
  <c r="E13" i="1"/>
  <c r="D11" i="10" l="1"/>
  <c r="G11" i="10" s="1"/>
  <c r="E11" i="10"/>
  <c r="H11" i="10" s="1"/>
  <c r="F11" i="10"/>
  <c r="I11" i="10"/>
  <c r="C12" i="7"/>
  <c r="B12" i="7"/>
  <c r="H10" i="4"/>
  <c r="G13" i="1"/>
  <c r="F13" i="1"/>
  <c r="E12" i="7" l="1"/>
  <c r="D12" i="7"/>
  <c r="G12" i="7" s="1"/>
  <c r="F12" i="7"/>
  <c r="I12" i="7"/>
  <c r="C11" i="4"/>
  <c r="B11" i="4"/>
  <c r="A14" i="1"/>
  <c r="B14" i="1"/>
  <c r="D14" i="1" s="1"/>
  <c r="H12" i="7" l="1"/>
  <c r="D11" i="4"/>
  <c r="G11" i="4" s="1"/>
  <c r="E11" i="4"/>
  <c r="I11" i="4"/>
  <c r="F11" i="4"/>
  <c r="C14" i="1"/>
  <c r="E14" i="1"/>
  <c r="B13" i="7" l="1"/>
  <c r="C13" i="7"/>
  <c r="H11" i="4"/>
  <c r="G14" i="1"/>
  <c r="F14" i="1"/>
  <c r="F13" i="7" l="1"/>
  <c r="I13" i="7"/>
  <c r="E13" i="7"/>
  <c r="D13" i="7"/>
  <c r="G13" i="7" s="1"/>
  <c r="C12" i="4"/>
  <c r="B12" i="4"/>
  <c r="A15" i="1"/>
  <c r="B15" i="1"/>
  <c r="D15" i="1" s="1"/>
  <c r="H13" i="7" l="1"/>
  <c r="E12" i="4"/>
  <c r="D12" i="4"/>
  <c r="G12" i="4" s="1"/>
  <c r="F12" i="4"/>
  <c r="I12" i="4"/>
  <c r="E15" i="1"/>
  <c r="C15" i="1"/>
  <c r="C14" i="7" l="1"/>
  <c r="B14" i="7"/>
  <c r="H12" i="4"/>
  <c r="F15" i="1"/>
  <c r="G15" i="1"/>
  <c r="D14" i="7" l="1"/>
  <c r="G14" i="7" s="1"/>
  <c r="E14" i="7"/>
  <c r="H14" i="7" s="1"/>
  <c r="I14" i="7"/>
  <c r="F14" i="7"/>
  <c r="B13" i="4"/>
  <c r="C13" i="4"/>
  <c r="B16" i="1"/>
  <c r="D16" i="1" s="1"/>
  <c r="A16" i="1"/>
  <c r="C15" i="7" l="1"/>
  <c r="B15" i="7"/>
  <c r="F13" i="4"/>
  <c r="I13" i="4"/>
  <c r="E13" i="4"/>
  <c r="D13" i="4"/>
  <c r="G13" i="4" s="1"/>
  <c r="E16" i="1"/>
  <c r="C16" i="1"/>
  <c r="D15" i="7" l="1"/>
  <c r="G15" i="7" s="1"/>
  <c r="E15" i="7"/>
  <c r="H15" i="7" s="1"/>
  <c r="I15" i="7"/>
  <c r="F15" i="7"/>
  <c r="H13" i="4"/>
  <c r="F16" i="1"/>
  <c r="G16" i="1"/>
  <c r="B16" i="7" l="1"/>
  <c r="C16" i="7"/>
  <c r="C14" i="4"/>
  <c r="B14" i="4"/>
  <c r="B17" i="1"/>
  <c r="D17" i="1" s="1"/>
  <c r="A17" i="1"/>
  <c r="F16" i="7" l="1"/>
  <c r="I16" i="7"/>
  <c r="E16" i="7"/>
  <c r="D16" i="7"/>
  <c r="G16" i="7" s="1"/>
  <c r="E14" i="4"/>
  <c r="D14" i="4"/>
  <c r="G14" i="4" s="1"/>
  <c r="I14" i="4"/>
  <c r="F14" i="4"/>
  <c r="C17" i="1"/>
  <c r="E17" i="1"/>
  <c r="H16" i="7" l="1"/>
  <c r="H14" i="4"/>
  <c r="G17" i="1"/>
  <c r="F17" i="1"/>
  <c r="B17" i="7" l="1"/>
  <c r="C17" i="7"/>
  <c r="C15" i="4"/>
  <c r="B15" i="4"/>
  <c r="A18" i="1"/>
  <c r="B18" i="1"/>
  <c r="D18" i="1" s="1"/>
  <c r="I17" i="7" l="1"/>
  <c r="F17" i="7"/>
  <c r="E17" i="7"/>
  <c r="D17" i="7"/>
  <c r="G17" i="7" s="1"/>
  <c r="D15" i="4"/>
  <c r="G15" i="4" s="1"/>
  <c r="E15" i="4"/>
  <c r="H15" i="4" s="1"/>
  <c r="F15" i="4"/>
  <c r="I15" i="4"/>
  <c r="C18" i="1"/>
  <c r="E18" i="1"/>
  <c r="H17" i="7" l="1"/>
  <c r="C16" i="4"/>
  <c r="B16" i="4"/>
  <c r="G18" i="1"/>
  <c r="F18" i="1"/>
  <c r="D16" i="4" l="1"/>
  <c r="G16" i="4" s="1"/>
  <c r="E16" i="4"/>
  <c r="H16" i="4" s="1"/>
  <c r="F16" i="4"/>
  <c r="I16" i="4"/>
  <c r="A19" i="1"/>
  <c r="B19" i="1"/>
  <c r="D19" i="1" s="1"/>
  <c r="B17" i="4" l="1"/>
  <c r="C17" i="4"/>
  <c r="E19" i="1"/>
  <c r="C19" i="1"/>
  <c r="F17" i="4" l="1"/>
  <c r="I17" i="4"/>
  <c r="E17" i="4"/>
  <c r="D17" i="4"/>
  <c r="G17" i="4" s="1"/>
  <c r="F19" i="1"/>
  <c r="G19" i="1"/>
  <c r="H17" i="4" l="1"/>
  <c r="B20" i="1"/>
  <c r="D20" i="1" s="1"/>
  <c r="A20" i="1"/>
  <c r="B18" i="4" l="1"/>
  <c r="C18" i="4"/>
  <c r="E20" i="1"/>
  <c r="C20" i="1"/>
  <c r="I18" i="4" l="1"/>
  <c r="F18" i="4"/>
  <c r="E18" i="4"/>
  <c r="D18" i="4"/>
  <c r="G18" i="4" s="1"/>
  <c r="F20" i="1"/>
  <c r="G20" i="1"/>
  <c r="H18" i="4" l="1"/>
  <c r="B21" i="1"/>
  <c r="D21" i="1" s="1"/>
  <c r="A21" i="1"/>
  <c r="C21" i="1" l="1"/>
  <c r="E21" i="1"/>
  <c r="G21" i="1" l="1"/>
  <c r="F21" i="1"/>
  <c r="A22" i="1" l="1"/>
  <c r="B22" i="1"/>
  <c r="D22" i="1" s="1"/>
  <c r="C22" i="1" l="1"/>
  <c r="E22" i="1"/>
  <c r="G22" i="1" l="1"/>
  <c r="F22" i="1"/>
  <c r="A23" i="1" l="1"/>
  <c r="B23" i="1"/>
  <c r="D23" i="1" s="1"/>
  <c r="E23" i="1" l="1"/>
  <c r="C23" i="1"/>
  <c r="F23" i="1" l="1"/>
  <c r="G23" i="1"/>
  <c r="B24" i="1" l="1"/>
  <c r="D24" i="1" s="1"/>
  <c r="A24" i="1"/>
  <c r="E24" i="1" l="1"/>
  <c r="C24" i="1"/>
  <c r="F24" i="1" l="1"/>
  <c r="G24" i="1"/>
  <c r="B25" i="1" l="1"/>
  <c r="D25" i="1" s="1"/>
  <c r="A25" i="1"/>
  <c r="C25" i="1" l="1"/>
  <c r="E25" i="1"/>
  <c r="G25" i="1" l="1"/>
  <c r="F25" i="1"/>
  <c r="A26" i="1" l="1"/>
  <c r="B26" i="1"/>
  <c r="D26" i="1" s="1"/>
  <c r="C26" i="1" l="1"/>
  <c r="E26" i="1"/>
  <c r="G26" i="1" l="1"/>
  <c r="F26" i="1"/>
  <c r="A27" i="1" l="1"/>
  <c r="B27" i="1"/>
  <c r="D27" i="1" s="1"/>
  <c r="E27" i="1" l="1"/>
  <c r="C27" i="1"/>
  <c r="F27" i="1" l="1"/>
  <c r="G27" i="1"/>
  <c r="B28" i="1" l="1"/>
  <c r="D28" i="1" s="1"/>
  <c r="A28" i="1"/>
  <c r="E28" i="1" l="1"/>
  <c r="C28" i="1"/>
  <c r="F28" i="1" l="1"/>
  <c r="G28" i="1"/>
  <c r="B29" i="1" l="1"/>
  <c r="D29" i="1" s="1"/>
  <c r="A29" i="1"/>
  <c r="C29" i="1" l="1"/>
  <c r="E29" i="1"/>
  <c r="G29" i="1" l="1"/>
  <c r="F29" i="1"/>
</calcChain>
</file>

<file path=xl/sharedStrings.xml><?xml version="1.0" encoding="utf-8"?>
<sst xmlns="http://schemas.openxmlformats.org/spreadsheetml/2006/main" count="111" uniqueCount="50">
  <si>
    <t>Tolerancia</t>
  </si>
  <si>
    <t>Función f(x)</t>
  </si>
  <si>
    <t>Derivada f'(x)</t>
  </si>
  <si>
    <t>a</t>
  </si>
  <si>
    <t>b</t>
  </si>
  <si>
    <t>f(a)</t>
  </si>
  <si>
    <t>f(b)</t>
  </si>
  <si>
    <t>x_m</t>
  </si>
  <si>
    <t>f(x_m)</t>
  </si>
  <si>
    <t>Error Ea</t>
  </si>
  <si>
    <t>i</t>
  </si>
  <si>
    <t>xi</t>
  </si>
  <si>
    <t>f(x_i)</t>
  </si>
  <si>
    <t>f'(x_i)</t>
  </si>
  <si>
    <t>Error E_a</t>
  </si>
  <si>
    <t>xi-1</t>
  </si>
  <si>
    <t>f(xi)</t>
  </si>
  <si>
    <t>f(xi-1)</t>
  </si>
  <si>
    <t>Ea</t>
  </si>
  <si>
    <t>EJEREICIO 1</t>
  </si>
  <si>
    <t>METÓDO DE BISECCIÓN</t>
  </si>
  <si>
    <t>EJERCICIO 1</t>
  </si>
  <si>
    <t xml:space="preserve">EJERCICIO 1 </t>
  </si>
  <si>
    <t>MÉTODO NEWTON-RAPHSON</t>
  </si>
  <si>
    <t>METÓDO DE LA SECANTE</t>
  </si>
  <si>
    <t>EJERCICICO 2</t>
  </si>
  <si>
    <t>METODO DE BISECCION</t>
  </si>
  <si>
    <t>c</t>
  </si>
  <si>
    <t>F(a)</t>
  </si>
  <si>
    <t>F(b)</t>
  </si>
  <si>
    <t>F©</t>
  </si>
  <si>
    <t>f(a)*f(c)</t>
  </si>
  <si>
    <t>Error</t>
  </si>
  <si>
    <t>n</t>
  </si>
  <si>
    <t>x_n</t>
  </si>
  <si>
    <t>f(x_n)</t>
  </si>
  <si>
    <t>f'(x_n)</t>
  </si>
  <si>
    <t>x(n+1)</t>
  </si>
  <si>
    <t>Verificacion</t>
  </si>
  <si>
    <t>MÉTODO SECANTE</t>
  </si>
  <si>
    <t>x(n-1)</t>
  </si>
  <si>
    <t>f(x(n-1))</t>
  </si>
  <si>
    <t>EJERCICIO 3</t>
  </si>
  <si>
    <t>EJERCICO 3</t>
  </si>
  <si>
    <t>MÉTODO NEWTON-RAPHSON - EJERCICIO 3</t>
  </si>
  <si>
    <t>MÉTODO DE LA SECANTE</t>
  </si>
  <si>
    <t>MÉTODO NEWTON-RAPHSON - EJERCICIO 4</t>
  </si>
  <si>
    <t>EJERCICIO 4</t>
  </si>
  <si>
    <t>grafica de la fución</t>
  </si>
  <si>
    <t>EJERCICO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</si>
</sst>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  <font>
      <sz val="9"/>
      <color rgb="FFFF0000"/>
      <name val="Gadugi"/>
      <family val="2"/>
    </font>
    <font>
      <b/>
      <sz val="9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2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0" fillId="5" borderId="1" xfId="0" applyFill="1" applyBorder="1"/>
    <xf numFmtId="3" fontId="5" fillId="0" borderId="1" xfId="0" applyNumberFormat="1" applyFont="1" applyBorder="1"/>
    <xf numFmtId="0" fontId="3" fillId="0" borderId="0" xfId="0" applyFont="1"/>
    <xf numFmtId="0" fontId="0" fillId="6" borderId="1" xfId="0" applyFill="1" applyBorder="1"/>
    <xf numFmtId="0" fontId="0" fillId="7" borderId="1" xfId="0" applyFill="1" applyBorder="1"/>
    <xf numFmtId="0" fontId="6" fillId="0" borderId="0" xfId="0" applyFont="1" applyAlignment="1">
      <alignment vertical="center" wrapText="1"/>
    </xf>
    <xf numFmtId="0" fontId="0" fillId="8" borderId="1" xfId="0" applyFill="1" applyBorder="1"/>
    <xf numFmtId="0" fontId="0" fillId="9" borderId="1" xfId="0" applyFill="1" applyBorder="1"/>
    <xf numFmtId="0" fontId="1" fillId="5" borderId="1" xfId="0" applyFont="1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2</xdr:row>
      <xdr:rowOff>161925</xdr:rowOff>
    </xdr:from>
    <xdr:to>
      <xdr:col>15</xdr:col>
      <xdr:colOff>485776</xdr:colOff>
      <xdr:row>21</xdr:row>
      <xdr:rowOff>102871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700" y="542925"/>
          <a:ext cx="5934076" cy="3560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2</xdr:row>
      <xdr:rowOff>19050</xdr:rowOff>
    </xdr:from>
    <xdr:to>
      <xdr:col>14</xdr:col>
      <xdr:colOff>381001</xdr:colOff>
      <xdr:row>20</xdr:row>
      <xdr:rowOff>150496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5" y="400050"/>
          <a:ext cx="5934076" cy="3560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</xdr:row>
      <xdr:rowOff>19050</xdr:rowOff>
    </xdr:from>
    <xdr:to>
      <xdr:col>14</xdr:col>
      <xdr:colOff>619126</xdr:colOff>
      <xdr:row>20</xdr:row>
      <xdr:rowOff>150496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400050"/>
          <a:ext cx="5934076" cy="35604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282574</xdr:colOff>
      <xdr:row>1</xdr:row>
      <xdr:rowOff>19050</xdr:rowOff>
    </xdr:from>
    <xdr:to>
      <xdr:col>18</xdr:col>
      <xdr:colOff>171467</xdr:colOff>
      <xdr:row>22</xdr:row>
      <xdr:rowOff>66686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574" y="209550"/>
          <a:ext cx="6746893" cy="40481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1</xdr:row>
      <xdr:rowOff>114300</xdr:rowOff>
    </xdr:from>
    <xdr:to>
      <xdr:col>16</xdr:col>
      <xdr:colOff>165118</xdr:colOff>
      <xdr:row>22</xdr:row>
      <xdr:rowOff>161936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304800"/>
          <a:ext cx="6746893" cy="40481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1</xdr:row>
      <xdr:rowOff>9525</xdr:rowOff>
    </xdr:from>
    <xdr:to>
      <xdr:col>16</xdr:col>
      <xdr:colOff>98443</xdr:colOff>
      <xdr:row>22</xdr:row>
      <xdr:rowOff>57161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200025"/>
          <a:ext cx="6746893" cy="40481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1</xdr:row>
      <xdr:rowOff>85725</xdr:rowOff>
    </xdr:from>
    <xdr:to>
      <xdr:col>17</xdr:col>
      <xdr:colOff>669943</xdr:colOff>
      <xdr:row>22</xdr:row>
      <xdr:rowOff>47636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5" y="276225"/>
          <a:ext cx="6604018" cy="3962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228600</xdr:rowOff>
    </xdr:from>
    <xdr:to>
      <xdr:col>14</xdr:col>
      <xdr:colOff>708043</xdr:colOff>
      <xdr:row>19</xdr:row>
      <xdr:rowOff>152411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28600"/>
          <a:ext cx="6604018" cy="3962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1</xdr:row>
      <xdr:rowOff>66675</xdr:rowOff>
    </xdr:from>
    <xdr:to>
      <xdr:col>15</xdr:col>
      <xdr:colOff>708043</xdr:colOff>
      <xdr:row>22</xdr:row>
      <xdr:rowOff>28586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257175"/>
          <a:ext cx="6604018" cy="39624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0</xdr:row>
      <xdr:rowOff>180975</xdr:rowOff>
    </xdr:from>
    <xdr:to>
      <xdr:col>16</xdr:col>
      <xdr:colOff>523893</xdr:colOff>
      <xdr:row>18</xdr:row>
      <xdr:rowOff>180986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180975"/>
          <a:ext cx="5715018" cy="34290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0</xdr:row>
      <xdr:rowOff>228600</xdr:rowOff>
    </xdr:from>
    <xdr:to>
      <xdr:col>15</xdr:col>
      <xdr:colOff>104775</xdr:colOff>
      <xdr:row>19</xdr:row>
      <xdr:rowOff>179070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28600"/>
          <a:ext cx="6648450" cy="39890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180975</xdr:rowOff>
    </xdr:from>
    <xdr:to>
      <xdr:col>16</xdr:col>
      <xdr:colOff>104775</xdr:colOff>
      <xdr:row>21</xdr:row>
      <xdr:rowOff>169545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180975"/>
          <a:ext cx="6648450" cy="3989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H9" sqref="H9"/>
    </sheetView>
  </sheetViews>
  <sheetFormatPr baseColWidth="10" defaultRowHeight="15" x14ac:dyDescent="0.25"/>
  <sheetData>
    <row r="1" spans="1:12" x14ac:dyDescent="0.25">
      <c r="A1" s="1" t="s">
        <v>0</v>
      </c>
      <c r="B1" t="s">
        <v>1</v>
      </c>
      <c r="C1" s="1" t="s">
        <v>2</v>
      </c>
    </row>
    <row r="2" spans="1:12" x14ac:dyDescent="0.25">
      <c r="A2" s="1">
        <v>1.0000000000000001E-5</v>
      </c>
      <c r="B2">
        <f>B3^3 - EXP(0.2*B3) - 20</f>
        <v>-21</v>
      </c>
      <c r="C2">
        <f>3*B3^2 - 0.2*EXP(0.2*B3)</f>
        <v>-0.2</v>
      </c>
      <c r="L2" t="s">
        <v>48</v>
      </c>
    </row>
    <row r="3" spans="1:12" x14ac:dyDescent="0.25">
      <c r="A3" t="s">
        <v>21</v>
      </c>
      <c r="C3" t="s">
        <v>20</v>
      </c>
    </row>
    <row r="5" spans="1:12" x14ac:dyDescent="0.2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12" x14ac:dyDescent="0.25">
      <c r="A6" s="4">
        <v>2</v>
      </c>
      <c r="B6" s="5">
        <v>3</v>
      </c>
      <c r="C6" s="5">
        <f>A6^3 - EXP(0.2*A6) - 20</f>
        <v>-13.49182469764127</v>
      </c>
      <c r="D6" s="5">
        <f>B6^3 - EXP(0.2*B6) - 20</f>
        <v>5.1778811996094909</v>
      </c>
      <c r="E6" s="6">
        <f>(A6+B6)/2</f>
        <v>2.5</v>
      </c>
      <c r="F6" s="5">
        <f>E6^3 - EXP(0.2*E6) - 20</f>
        <v>-6.0237212707001291</v>
      </c>
      <c r="G6" s="5"/>
    </row>
    <row r="7" spans="1:12" x14ac:dyDescent="0.25">
      <c r="A7" s="4">
        <f>IF(F6 &lt; 0, E6, A6)</f>
        <v>2.5</v>
      </c>
      <c r="B7" s="5">
        <f>IF(F6 &lt; 0, B6, E6)</f>
        <v>3</v>
      </c>
      <c r="C7" s="5">
        <f>A7^3 - EXP(0.2*A7) - 20</f>
        <v>-6.0237212707001291</v>
      </c>
      <c r="D7" s="5">
        <f>B7^3 - EXP(0.2*B7) - 20</f>
        <v>5.1778811996094909</v>
      </c>
      <c r="E7" s="5">
        <f>(A7+B7)/2</f>
        <v>2.75</v>
      </c>
      <c r="F7" s="5">
        <f>E7^3 - EXP(0.2*E7) - 20</f>
        <v>-0.93637801786739416</v>
      </c>
      <c r="G7" s="5">
        <f>ABS(E7-E6)</f>
        <v>0.25</v>
      </c>
    </row>
    <row r="8" spans="1:12" x14ac:dyDescent="0.25">
      <c r="A8" s="4">
        <f t="shared" ref="A8:A29" si="0">IF(F7 &lt; 0, E7, A7)</f>
        <v>2.75</v>
      </c>
      <c r="B8" s="5">
        <f t="shared" ref="B8:B29" si="1">IF(F7 &lt; 0, B7, E7)</f>
        <v>3</v>
      </c>
      <c r="C8" s="5">
        <f t="shared" ref="C8:D29" si="2">A8^3 - EXP(0.2*A8) - 20</f>
        <v>-0.93637801786739416</v>
      </c>
      <c r="D8" s="5">
        <f t="shared" si="2"/>
        <v>5.1778811996094909</v>
      </c>
      <c r="E8" s="5">
        <f t="shared" ref="E8:E29" si="3">(A8+B8)/2</f>
        <v>2.875</v>
      </c>
      <c r="F8" s="5">
        <f t="shared" ref="F8:F29" si="4">E8^3 - EXP(0.2*E8) - 20</f>
        <v>1.9865413480859608</v>
      </c>
      <c r="G8" s="5">
        <f t="shared" ref="G8:G29" si="5">ABS(E8-E7)</f>
        <v>0.125</v>
      </c>
    </row>
    <row r="9" spans="1:12" x14ac:dyDescent="0.25">
      <c r="A9" s="4">
        <f t="shared" si="0"/>
        <v>2.75</v>
      </c>
      <c r="B9" s="5">
        <f t="shared" si="1"/>
        <v>2.875</v>
      </c>
      <c r="C9" s="5">
        <f t="shared" si="2"/>
        <v>-0.93637801786739416</v>
      </c>
      <c r="D9" s="5">
        <f t="shared" si="2"/>
        <v>1.9865413480859608</v>
      </c>
      <c r="E9" s="5">
        <f t="shared" si="3"/>
        <v>2.8125</v>
      </c>
      <c r="F9" s="5">
        <f t="shared" si="4"/>
        <v>0.49225979616470283</v>
      </c>
      <c r="G9" s="5">
        <f t="shared" si="5"/>
        <v>6.25E-2</v>
      </c>
    </row>
    <row r="10" spans="1:12" x14ac:dyDescent="0.25">
      <c r="A10" s="4">
        <f t="shared" si="0"/>
        <v>2.75</v>
      </c>
      <c r="B10" s="5">
        <f t="shared" si="1"/>
        <v>2.8125</v>
      </c>
      <c r="C10" s="5">
        <f t="shared" si="2"/>
        <v>-0.93637801786739416</v>
      </c>
      <c r="D10" s="5">
        <f t="shared" si="2"/>
        <v>0.49225979616470283</v>
      </c>
      <c r="E10" s="5">
        <f t="shared" si="3"/>
        <v>2.78125</v>
      </c>
      <c r="F10" s="5">
        <f t="shared" si="4"/>
        <v>-0.23017323926052669</v>
      </c>
      <c r="G10" s="5">
        <f t="shared" si="5"/>
        <v>3.125E-2</v>
      </c>
    </row>
    <row r="11" spans="1:12" x14ac:dyDescent="0.25">
      <c r="A11" s="4">
        <f t="shared" si="0"/>
        <v>2.78125</v>
      </c>
      <c r="B11" s="5">
        <f t="shared" si="1"/>
        <v>2.8125</v>
      </c>
      <c r="C11" s="5">
        <f t="shared" si="2"/>
        <v>-0.23017323926052669</v>
      </c>
      <c r="D11" s="5">
        <f t="shared" si="2"/>
        <v>0.49225979616470283</v>
      </c>
      <c r="E11" s="5">
        <f t="shared" si="3"/>
        <v>2.796875</v>
      </c>
      <c r="F11" s="5">
        <f t="shared" si="4"/>
        <v>0.12900332889200783</v>
      </c>
      <c r="G11" s="5">
        <f t="shared" si="5"/>
        <v>1.5625E-2</v>
      </c>
    </row>
    <row r="12" spans="1:12" x14ac:dyDescent="0.25">
      <c r="A12" s="4">
        <f t="shared" si="0"/>
        <v>2.78125</v>
      </c>
      <c r="B12" s="5">
        <f t="shared" si="1"/>
        <v>2.796875</v>
      </c>
      <c r="C12" s="5">
        <f t="shared" si="2"/>
        <v>-0.23017323926052669</v>
      </c>
      <c r="D12" s="5">
        <f t="shared" si="2"/>
        <v>0.12900332889200783</v>
      </c>
      <c r="E12" s="5">
        <f t="shared" si="3"/>
        <v>2.7890625</v>
      </c>
      <c r="F12" s="5">
        <f t="shared" si="4"/>
        <v>-5.1093515398559219E-2</v>
      </c>
      <c r="G12" s="5">
        <f t="shared" si="5"/>
        <v>7.8125E-3</v>
      </c>
    </row>
    <row r="13" spans="1:12" x14ac:dyDescent="0.25">
      <c r="A13" s="4">
        <f t="shared" si="0"/>
        <v>2.7890625</v>
      </c>
      <c r="B13" s="5">
        <f t="shared" si="1"/>
        <v>2.796875</v>
      </c>
      <c r="C13" s="5">
        <f t="shared" si="2"/>
        <v>-5.1093515398559219E-2</v>
      </c>
      <c r="D13" s="5">
        <f t="shared" si="2"/>
        <v>0.12900332889200783</v>
      </c>
      <c r="E13" s="5">
        <f t="shared" si="3"/>
        <v>2.79296875</v>
      </c>
      <c r="F13" s="5">
        <f t="shared" si="4"/>
        <v>3.8827588295774262E-2</v>
      </c>
      <c r="G13" s="5">
        <f t="shared" si="5"/>
        <v>3.90625E-3</v>
      </c>
    </row>
    <row r="14" spans="1:12" x14ac:dyDescent="0.25">
      <c r="A14" s="4">
        <f t="shared" si="0"/>
        <v>2.7890625</v>
      </c>
      <c r="B14" s="5">
        <f t="shared" si="1"/>
        <v>2.79296875</v>
      </c>
      <c r="C14" s="5">
        <f t="shared" si="2"/>
        <v>-5.1093515398559219E-2</v>
      </c>
      <c r="D14" s="5">
        <f t="shared" si="2"/>
        <v>3.8827588295774262E-2</v>
      </c>
      <c r="E14" s="5">
        <f t="shared" si="3"/>
        <v>2.791015625</v>
      </c>
      <c r="F14" s="5">
        <f t="shared" si="4"/>
        <v>-6.1647708644834154E-3</v>
      </c>
      <c r="G14" s="5">
        <f t="shared" si="5"/>
        <v>1.953125E-3</v>
      </c>
    </row>
    <row r="15" spans="1:12" x14ac:dyDescent="0.25">
      <c r="A15" s="4">
        <f t="shared" si="0"/>
        <v>2.791015625</v>
      </c>
      <c r="B15" s="5">
        <f t="shared" si="1"/>
        <v>2.79296875</v>
      </c>
      <c r="C15" s="5">
        <f t="shared" si="2"/>
        <v>-6.1647708644834154E-3</v>
      </c>
      <c r="D15" s="5">
        <f t="shared" si="2"/>
        <v>3.8827588295774262E-2</v>
      </c>
      <c r="E15" s="5">
        <f t="shared" si="3"/>
        <v>2.7919921875</v>
      </c>
      <c r="F15" s="5">
        <f t="shared" si="4"/>
        <v>1.6323454099914869E-2</v>
      </c>
      <c r="G15" s="5">
        <f t="shared" si="5"/>
        <v>9.765625E-4</v>
      </c>
    </row>
    <row r="16" spans="1:12" x14ac:dyDescent="0.25">
      <c r="A16" s="4">
        <f t="shared" si="0"/>
        <v>2.791015625</v>
      </c>
      <c r="B16" s="5">
        <f t="shared" si="1"/>
        <v>2.7919921875</v>
      </c>
      <c r="C16" s="5">
        <f t="shared" si="2"/>
        <v>-6.1647708644834154E-3</v>
      </c>
      <c r="D16" s="5">
        <f t="shared" si="2"/>
        <v>1.6323454099914869E-2</v>
      </c>
      <c r="E16" s="5">
        <f t="shared" si="3"/>
        <v>2.79150390625</v>
      </c>
      <c r="F16" s="5">
        <f t="shared" si="4"/>
        <v>5.0773533122168146E-3</v>
      </c>
      <c r="G16" s="5">
        <f t="shared" si="5"/>
        <v>4.8828125E-4</v>
      </c>
    </row>
    <row r="17" spans="1:7" x14ac:dyDescent="0.25">
      <c r="A17" s="4">
        <f t="shared" si="0"/>
        <v>2.791015625</v>
      </c>
      <c r="B17" s="5">
        <f t="shared" si="1"/>
        <v>2.79150390625</v>
      </c>
      <c r="C17" s="5">
        <f t="shared" si="2"/>
        <v>-6.1647708644834154E-3</v>
      </c>
      <c r="D17" s="5">
        <f t="shared" si="2"/>
        <v>5.0773533122168146E-3</v>
      </c>
      <c r="E17" s="5">
        <f t="shared" si="3"/>
        <v>2.791259765625</v>
      </c>
      <c r="F17" s="5">
        <f t="shared" si="4"/>
        <v>-5.442058089535351E-4</v>
      </c>
      <c r="G17" s="5">
        <f t="shared" si="5"/>
        <v>2.44140625E-4</v>
      </c>
    </row>
    <row r="18" spans="1:7" x14ac:dyDescent="0.25">
      <c r="A18" s="4">
        <f t="shared" si="0"/>
        <v>2.791259765625</v>
      </c>
      <c r="B18" s="5">
        <f t="shared" si="1"/>
        <v>2.79150390625</v>
      </c>
      <c r="C18" s="5">
        <f t="shared" si="2"/>
        <v>-5.442058089535351E-4</v>
      </c>
      <c r="D18" s="5">
        <f t="shared" si="2"/>
        <v>5.0773533122168146E-3</v>
      </c>
      <c r="E18" s="5">
        <f t="shared" si="3"/>
        <v>2.7913818359375</v>
      </c>
      <c r="F18" s="5">
        <f t="shared" si="4"/>
        <v>2.2664494879798269E-3</v>
      </c>
      <c r="G18" s="5">
        <f t="shared" si="5"/>
        <v>1.220703125E-4</v>
      </c>
    </row>
    <row r="19" spans="1:7" x14ac:dyDescent="0.25">
      <c r="A19" s="4">
        <f t="shared" si="0"/>
        <v>2.791259765625</v>
      </c>
      <c r="B19" s="5">
        <f t="shared" si="1"/>
        <v>2.7913818359375</v>
      </c>
      <c r="C19" s="5">
        <f t="shared" si="2"/>
        <v>-5.442058089535351E-4</v>
      </c>
      <c r="D19" s="5">
        <f t="shared" si="2"/>
        <v>2.2664494879798269E-3</v>
      </c>
      <c r="E19" s="5">
        <f t="shared" si="3"/>
        <v>2.79132080078125</v>
      </c>
      <c r="F19" s="5">
        <f t="shared" si="4"/>
        <v>8.6109077428275782E-4</v>
      </c>
      <c r="G19" s="5">
        <f t="shared" si="5"/>
        <v>6.103515625E-5</v>
      </c>
    </row>
    <row r="20" spans="1:7" x14ac:dyDescent="0.25">
      <c r="A20" s="4">
        <f t="shared" si="0"/>
        <v>2.791259765625</v>
      </c>
      <c r="B20" s="5">
        <f t="shared" si="1"/>
        <v>2.79132080078125</v>
      </c>
      <c r="C20" s="5">
        <f t="shared" si="2"/>
        <v>-5.442058089535351E-4</v>
      </c>
      <c r="D20" s="5">
        <f t="shared" si="2"/>
        <v>8.6109077428275782E-4</v>
      </c>
      <c r="E20" s="5">
        <f t="shared" si="3"/>
        <v>2.791290283203125</v>
      </c>
      <c r="F20" s="5">
        <f t="shared" si="4"/>
        <v>1.5843471643961493E-4</v>
      </c>
      <c r="G20" s="5">
        <f t="shared" si="5"/>
        <v>3.0517578125E-5</v>
      </c>
    </row>
    <row r="21" spans="1:7" x14ac:dyDescent="0.25">
      <c r="A21" s="4">
        <f t="shared" si="0"/>
        <v>2.791259765625</v>
      </c>
      <c r="B21" s="5">
        <f t="shared" si="1"/>
        <v>2.791290283203125</v>
      </c>
      <c r="C21" s="5">
        <f t="shared" si="2"/>
        <v>-5.442058089535351E-4</v>
      </c>
      <c r="D21" s="5">
        <f t="shared" si="2"/>
        <v>1.5843471643961493E-4</v>
      </c>
      <c r="E21" s="5">
        <f t="shared" si="3"/>
        <v>2.7912750244140625</v>
      </c>
      <c r="F21" s="5">
        <f t="shared" si="4"/>
        <v>-1.9288748780255105E-4</v>
      </c>
      <c r="G21" s="5">
        <f t="shared" si="5"/>
        <v>1.52587890625E-5</v>
      </c>
    </row>
    <row r="22" spans="1:7" x14ac:dyDescent="0.25">
      <c r="A22" s="4">
        <f t="shared" si="0"/>
        <v>2.7912750244140625</v>
      </c>
      <c r="B22" s="5">
        <f t="shared" si="1"/>
        <v>2.791290283203125</v>
      </c>
      <c r="C22" s="5">
        <f t="shared" si="2"/>
        <v>-1.9288748780255105E-4</v>
      </c>
      <c r="D22" s="5">
        <f t="shared" si="2"/>
        <v>1.5843471643961493E-4</v>
      </c>
      <c r="E22" s="5">
        <f t="shared" si="3"/>
        <v>2.7912826538085937</v>
      </c>
      <c r="F22" s="5">
        <f t="shared" si="4"/>
        <v>-1.7226871069198069E-5</v>
      </c>
      <c r="G22" s="5">
        <f t="shared" si="5"/>
        <v>7.62939453125E-6</v>
      </c>
    </row>
    <row r="23" spans="1:7" x14ac:dyDescent="0.25">
      <c r="A23" s="4">
        <f t="shared" si="0"/>
        <v>2.7912826538085937</v>
      </c>
      <c r="B23" s="5">
        <f t="shared" si="1"/>
        <v>2.791290283203125</v>
      </c>
      <c r="C23" s="5">
        <f t="shared" si="2"/>
        <v>-1.7226871069198069E-5</v>
      </c>
      <c r="D23" s="5">
        <f t="shared" si="2"/>
        <v>1.5843471643961493E-4</v>
      </c>
      <c r="E23" s="5">
        <f t="shared" si="3"/>
        <v>2.7912864685058594</v>
      </c>
      <c r="F23" s="5">
        <f t="shared" si="4"/>
        <v>7.0603801336943661E-5</v>
      </c>
      <c r="G23" s="5">
        <f t="shared" si="5"/>
        <v>3.814697265625E-6</v>
      </c>
    </row>
    <row r="24" spans="1:7" x14ac:dyDescent="0.25">
      <c r="A24" s="4">
        <f t="shared" si="0"/>
        <v>2.7912826538085937</v>
      </c>
      <c r="B24" s="5">
        <f t="shared" si="1"/>
        <v>2.7912864685058594</v>
      </c>
      <c r="C24" s="5">
        <f t="shared" si="2"/>
        <v>-1.7226871069198069E-5</v>
      </c>
      <c r="D24" s="5">
        <f t="shared" si="2"/>
        <v>7.0603801336943661E-5</v>
      </c>
      <c r="E24" s="5">
        <f t="shared" si="3"/>
        <v>2.7912845611572266</v>
      </c>
      <c r="F24" s="5">
        <f t="shared" si="4"/>
        <v>2.6688434797250693E-5</v>
      </c>
      <c r="G24" s="5">
        <f t="shared" si="5"/>
        <v>1.9073486328125E-6</v>
      </c>
    </row>
    <row r="25" spans="1:7" x14ac:dyDescent="0.25">
      <c r="A25" s="4">
        <f t="shared" si="0"/>
        <v>2.7912826538085937</v>
      </c>
      <c r="B25" s="5">
        <f t="shared" si="1"/>
        <v>2.7912845611572266</v>
      </c>
      <c r="C25" s="5">
        <f t="shared" si="2"/>
        <v>-1.7226871069198069E-5</v>
      </c>
      <c r="D25" s="5">
        <f t="shared" si="2"/>
        <v>2.6688434797250693E-5</v>
      </c>
      <c r="E25" s="5">
        <f t="shared" si="3"/>
        <v>2.7912836074829102</v>
      </c>
      <c r="F25" s="5">
        <f t="shared" si="4"/>
        <v>4.7307742825353216E-6</v>
      </c>
      <c r="G25" s="5">
        <f t="shared" si="5"/>
        <v>9.5367431640625E-7</v>
      </c>
    </row>
    <row r="26" spans="1:7" x14ac:dyDescent="0.25">
      <c r="A26" s="4">
        <f t="shared" si="0"/>
        <v>2.7912826538085937</v>
      </c>
      <c r="B26" s="5">
        <f t="shared" si="1"/>
        <v>2.7912836074829102</v>
      </c>
      <c r="C26" s="5">
        <f t="shared" si="2"/>
        <v>-1.7226871069198069E-5</v>
      </c>
      <c r="D26" s="5">
        <f t="shared" si="2"/>
        <v>4.7307742825353216E-6</v>
      </c>
      <c r="E26" s="5">
        <f t="shared" si="3"/>
        <v>2.791283130645752</v>
      </c>
      <c r="F26" s="5">
        <f t="shared" si="4"/>
        <v>-6.248050290480478E-6</v>
      </c>
      <c r="G26" s="5">
        <f t="shared" si="5"/>
        <v>4.76837158203125E-7</v>
      </c>
    </row>
    <row r="27" spans="1:7" x14ac:dyDescent="0.25">
      <c r="A27" s="4">
        <f t="shared" si="0"/>
        <v>2.791283130645752</v>
      </c>
      <c r="B27" s="5">
        <f t="shared" si="1"/>
        <v>2.7912836074829102</v>
      </c>
      <c r="C27" s="5">
        <f t="shared" si="2"/>
        <v>-6.248050290480478E-6</v>
      </c>
      <c r="D27" s="5">
        <f t="shared" si="2"/>
        <v>4.7307742825353216E-6</v>
      </c>
      <c r="E27" s="5">
        <f t="shared" si="3"/>
        <v>2.7912833690643311</v>
      </c>
      <c r="F27" s="5">
        <f t="shared" si="4"/>
        <v>-7.5863847825985431E-7</v>
      </c>
      <c r="G27" s="5">
        <f t="shared" si="5"/>
        <v>2.384185791015625E-7</v>
      </c>
    </row>
    <row r="28" spans="1:7" x14ac:dyDescent="0.25">
      <c r="A28" s="4">
        <f t="shared" si="0"/>
        <v>2.7912833690643311</v>
      </c>
      <c r="B28" s="5">
        <f t="shared" si="1"/>
        <v>2.7912836074829102</v>
      </c>
      <c r="C28" s="5">
        <f t="shared" si="2"/>
        <v>-7.5863847825985431E-7</v>
      </c>
      <c r="D28" s="5">
        <f t="shared" si="2"/>
        <v>4.7307742825353216E-6</v>
      </c>
      <c r="E28" s="5">
        <f t="shared" si="3"/>
        <v>2.7912834882736206</v>
      </c>
      <c r="F28" s="5">
        <f t="shared" si="4"/>
        <v>1.9860677831218254E-6</v>
      </c>
      <c r="G28" s="5">
        <f t="shared" si="5"/>
        <v>1.1920928955078125E-7</v>
      </c>
    </row>
    <row r="29" spans="1:7" x14ac:dyDescent="0.25">
      <c r="A29" s="4">
        <f t="shared" si="0"/>
        <v>2.7912833690643311</v>
      </c>
      <c r="B29" s="5">
        <f t="shared" si="1"/>
        <v>2.7912834882736206</v>
      </c>
      <c r="C29" s="5">
        <f t="shared" si="2"/>
        <v>-7.5863847825985431E-7</v>
      </c>
      <c r="D29" s="5">
        <f t="shared" si="2"/>
        <v>1.9860677831218254E-6</v>
      </c>
      <c r="E29" s="5">
        <f t="shared" si="3"/>
        <v>2.7912834286689758</v>
      </c>
      <c r="F29" s="5">
        <f t="shared" si="4"/>
        <v>6.1371462223291928E-7</v>
      </c>
      <c r="G29" s="5">
        <f t="shared" si="5"/>
        <v>5.9604644775390625E-8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4" sqref="F14"/>
    </sheetView>
  </sheetViews>
  <sheetFormatPr baseColWidth="10" defaultRowHeight="15" x14ac:dyDescent="0.25"/>
  <sheetData>
    <row r="1" spans="1:5" x14ac:dyDescent="0.25">
      <c r="A1" t="s">
        <v>22</v>
      </c>
      <c r="C1" t="s">
        <v>23</v>
      </c>
    </row>
    <row r="3" spans="1:5" x14ac:dyDescent="0.25">
      <c r="A3" s="12" t="s">
        <v>10</v>
      </c>
      <c r="B3" s="12" t="s">
        <v>11</v>
      </c>
      <c r="C3" s="20" t="s">
        <v>12</v>
      </c>
      <c r="D3" s="12" t="s">
        <v>13</v>
      </c>
      <c r="E3" s="20" t="s">
        <v>14</v>
      </c>
    </row>
    <row r="4" spans="1:5" x14ac:dyDescent="0.25">
      <c r="A4" s="21">
        <v>0</v>
      </c>
      <c r="B4" s="5">
        <v>3</v>
      </c>
      <c r="C4" s="6">
        <f>B4^3 - EXP(0.2*B4) - 20</f>
        <v>5.1778811996094909</v>
      </c>
      <c r="D4" s="5">
        <f>3*B4^2 - 0.2*EXP(0.2*B4)</f>
        <v>26.6355762399219</v>
      </c>
      <c r="E4" s="5"/>
    </row>
    <row r="5" spans="1:5" x14ac:dyDescent="0.25">
      <c r="A5" s="21">
        <f>A4+1</f>
        <v>1</v>
      </c>
      <c r="B5" s="5">
        <f>B4-(C4/D4)</f>
        <v>2.8056028090787546</v>
      </c>
      <c r="C5" s="5">
        <f>B5^3 - EXP(0.2*B5) - 20</f>
        <v>0.33140659717100363</v>
      </c>
      <c r="D5" s="5">
        <f>3*B5^2 - 0.2*EXP(0.2*B5)</f>
        <v>23.263694299614567</v>
      </c>
      <c r="E5" s="5">
        <f>ABS(B5-B4)</f>
        <v>0.19439719092124541</v>
      </c>
    </row>
    <row r="6" spans="1:5" x14ac:dyDescent="0.25">
      <c r="A6" s="21">
        <f t="shared" ref="A6:A9" si="0">A5+1</f>
        <v>2</v>
      </c>
      <c r="B6" s="5">
        <f t="shared" ref="B6:B9" si="1">B5-(C5/D5)</f>
        <v>2.7913571526106633</v>
      </c>
      <c r="C6" s="5">
        <f t="shared" ref="C6:C9" si="2">B6^3 - EXP(0.2*B6) - 20</f>
        <v>1.6980986016612576E-3</v>
      </c>
      <c r="D6" s="5">
        <f t="shared" ref="D6:D9" si="3">3*B6^2 - 0.2*EXP(0.2*B6)</f>
        <v>23.025494469251512</v>
      </c>
      <c r="E6" s="5">
        <f t="shared" ref="E6:E9" si="4">ABS(B6-B5)</f>
        <v>1.4245656468091283E-2</v>
      </c>
    </row>
    <row r="7" spans="1:5" x14ac:dyDescent="0.25">
      <c r="A7" s="21">
        <f t="shared" si="0"/>
        <v>3</v>
      </c>
      <c r="B7" s="5">
        <f t="shared" si="1"/>
        <v>2.791283403983726</v>
      </c>
      <c r="C7" s="5">
        <f t="shared" si="2"/>
        <v>4.5354894950833113E-8</v>
      </c>
      <c r="D7" s="5">
        <f t="shared" si="3"/>
        <v>23.024264488454723</v>
      </c>
      <c r="E7" s="5">
        <f t="shared" si="4"/>
        <v>7.3748626937319983E-5</v>
      </c>
    </row>
    <row r="8" spans="1:5" x14ac:dyDescent="0.25">
      <c r="A8" s="21">
        <f t="shared" si="0"/>
        <v>4</v>
      </c>
      <c r="B8" s="5">
        <f t="shared" si="1"/>
        <v>2.7912834020138524</v>
      </c>
      <c r="C8" s="5">
        <f t="shared" si="2"/>
        <v>0</v>
      </c>
      <c r="D8" s="5">
        <f t="shared" si="3"/>
        <v>23.024264455601575</v>
      </c>
      <c r="E8" s="5">
        <f t="shared" si="4"/>
        <v>1.9698735975737236E-9</v>
      </c>
    </row>
    <row r="9" spans="1:5" x14ac:dyDescent="0.25">
      <c r="A9" s="21">
        <f t="shared" si="0"/>
        <v>5</v>
      </c>
      <c r="B9" s="5">
        <f t="shared" si="1"/>
        <v>2.7912834020138524</v>
      </c>
      <c r="C9" s="5">
        <f t="shared" si="2"/>
        <v>0</v>
      </c>
      <c r="D9" s="5">
        <f t="shared" si="3"/>
        <v>23.024264455601575</v>
      </c>
      <c r="E9" s="5">
        <f t="shared" si="4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3" sqref="C13"/>
    </sheetView>
  </sheetViews>
  <sheetFormatPr baseColWidth="10" defaultRowHeight="15" x14ac:dyDescent="0.25"/>
  <sheetData>
    <row r="1" spans="1:6" x14ac:dyDescent="0.25">
      <c r="A1" t="s">
        <v>19</v>
      </c>
      <c r="C1" t="s">
        <v>24</v>
      </c>
    </row>
    <row r="3" spans="1:6" x14ac:dyDescent="0.25">
      <c r="A3" s="21" t="s">
        <v>10</v>
      </c>
      <c r="B3" s="21" t="s">
        <v>15</v>
      </c>
      <c r="C3" s="21" t="s">
        <v>11</v>
      </c>
      <c r="D3" s="21" t="s">
        <v>16</v>
      </c>
      <c r="E3" s="21" t="s">
        <v>17</v>
      </c>
      <c r="F3" s="21" t="s">
        <v>18</v>
      </c>
    </row>
    <row r="4" spans="1:6" x14ac:dyDescent="0.25">
      <c r="A4" s="22">
        <v>0</v>
      </c>
      <c r="B4" s="5">
        <v>2</v>
      </c>
      <c r="C4" s="5">
        <v>3</v>
      </c>
      <c r="D4" s="5">
        <f>C4^3 - EXP(0.2*C4) - 20</f>
        <v>5.1778811996094909</v>
      </c>
      <c r="E4" s="5">
        <f>B4^3 - EXP(0.2*B4) - 20</f>
        <v>-13.49182469764127</v>
      </c>
      <c r="F4" s="5"/>
    </row>
    <row r="5" spans="1:6" x14ac:dyDescent="0.25">
      <c r="A5" s="22">
        <f>A4+1</f>
        <v>1</v>
      </c>
      <c r="B5" s="5">
        <f>C4</f>
        <v>3</v>
      </c>
      <c r="C5" s="5">
        <f>C4 - D4 * ((C4 - B4) / (D4 - E4))</f>
        <v>2.7226586627499061</v>
      </c>
      <c r="D5" s="5">
        <f>C5^3 - EXP(0.2*C5) - 20</f>
        <v>-1.5410857443402648</v>
      </c>
      <c r="E5" s="5">
        <f>D4</f>
        <v>5.1778811996094909</v>
      </c>
      <c r="F5" s="5">
        <f>ABS(C5-C4)</f>
        <v>0.27734133725009391</v>
      </c>
    </row>
    <row r="6" spans="1:6" x14ac:dyDescent="0.25">
      <c r="A6" s="22">
        <f t="shared" ref="A6:A9" si="0">A5+1</f>
        <v>2</v>
      </c>
      <c r="B6" s="5">
        <f t="shared" ref="B6:B9" si="1">C5</f>
        <v>2.7226586627499061</v>
      </c>
      <c r="C6" s="5">
        <f t="shared" ref="C6:C9" si="2">C5 - D5 * ((C5 - B5) / (D5 - E5))</f>
        <v>2.7862706413052187</v>
      </c>
      <c r="D6" s="5">
        <f t="shared" ref="D6:D9" si="3">C6^3 - EXP(0.2*C6) - 20</f>
        <v>-0.11520571597041496</v>
      </c>
      <c r="E6" s="5">
        <f t="shared" ref="E6:E9" si="4">D5</f>
        <v>-1.5410857443402648</v>
      </c>
      <c r="F6" s="5">
        <f t="shared" ref="F6:F9" si="5">ABS(C6-C5)</f>
        <v>6.3611978555312643E-2</v>
      </c>
    </row>
    <row r="7" spans="1:6" x14ac:dyDescent="0.25">
      <c r="A7" s="22">
        <f t="shared" si="0"/>
        <v>3</v>
      </c>
      <c r="B7" s="5">
        <f t="shared" si="1"/>
        <v>2.7862706413052187</v>
      </c>
      <c r="C7" s="5">
        <f t="shared" si="2"/>
        <v>2.79141024869711</v>
      </c>
      <c r="D7" s="5">
        <f t="shared" si="3"/>
        <v>2.9206857562193989E-3</v>
      </c>
      <c r="E7" s="5">
        <f t="shared" si="4"/>
        <v>-0.11520571597041496</v>
      </c>
      <c r="F7" s="5">
        <f t="shared" si="5"/>
        <v>5.1396073918912322E-3</v>
      </c>
    </row>
    <row r="8" spans="1:6" x14ac:dyDescent="0.25">
      <c r="A8" s="22">
        <f t="shared" si="0"/>
        <v>4</v>
      </c>
      <c r="B8" s="5">
        <f t="shared" si="1"/>
        <v>2.79141024869711</v>
      </c>
      <c r="C8" s="5">
        <f t="shared" si="2"/>
        <v>2.7912831714486486</v>
      </c>
      <c r="D8" s="5">
        <f t="shared" si="3"/>
        <v>-5.3085937778973857E-6</v>
      </c>
      <c r="E8" s="5">
        <f t="shared" si="4"/>
        <v>2.9206857562193989E-3</v>
      </c>
      <c r="F8" s="5">
        <f t="shared" si="5"/>
        <v>1.2707724846139357E-4</v>
      </c>
    </row>
    <row r="9" spans="1:6" x14ac:dyDescent="0.25">
      <c r="A9" s="22">
        <f t="shared" si="0"/>
        <v>5</v>
      </c>
      <c r="B9" s="5">
        <f t="shared" si="1"/>
        <v>2.7912831714486486</v>
      </c>
      <c r="C9" s="5">
        <f t="shared" si="2"/>
        <v>2.79128340200326</v>
      </c>
      <c r="D9" s="5">
        <f t="shared" si="3"/>
        <v>-2.4387603048126039E-10</v>
      </c>
      <c r="E9" s="5">
        <f t="shared" si="4"/>
        <v>-5.3085937778973857E-6</v>
      </c>
      <c r="F9" s="5">
        <f t="shared" si="5"/>
        <v>2.3055461140231159E-7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21" sqref="E21"/>
    </sheetView>
  </sheetViews>
  <sheetFormatPr baseColWidth="10" defaultRowHeight="15" x14ac:dyDescent="0.25"/>
  <sheetData>
    <row r="1" spans="1:9" x14ac:dyDescent="0.25">
      <c r="A1" t="s">
        <v>25</v>
      </c>
      <c r="C1" t="s">
        <v>26</v>
      </c>
    </row>
    <row r="2" spans="1:9" x14ac:dyDescent="0.25">
      <c r="A2" s="7" t="s">
        <v>10</v>
      </c>
      <c r="B2" s="8" t="s">
        <v>3</v>
      </c>
      <c r="C2" s="8" t="s">
        <v>4</v>
      </c>
      <c r="D2" s="8" t="s">
        <v>27</v>
      </c>
      <c r="E2" s="8" t="s">
        <v>28</v>
      </c>
      <c r="F2" s="8" t="s">
        <v>29</v>
      </c>
      <c r="G2" s="8" t="s">
        <v>30</v>
      </c>
      <c r="H2" s="7" t="s">
        <v>31</v>
      </c>
      <c r="I2" s="8" t="s">
        <v>32</v>
      </c>
    </row>
    <row r="3" spans="1:9" x14ac:dyDescent="0.25">
      <c r="A3" s="3">
        <v>0</v>
      </c>
      <c r="B3" s="5">
        <v>5</v>
      </c>
      <c r="C3" s="5">
        <v>6</v>
      </c>
      <c r="D3" s="5">
        <f>(B3+C3)/2</f>
        <v>5.5</v>
      </c>
      <c r="E3" s="5">
        <f t="shared" ref="E3:G18" si="0">3*SIN(0.5*B3)-0.5*B3+2</f>
        <v>1.2954164323118698</v>
      </c>
      <c r="F3" s="5">
        <f t="shared" si="0"/>
        <v>-0.57663997582039839</v>
      </c>
      <c r="G3" s="5">
        <f t="shared" si="0"/>
        <v>0.39498297615699496</v>
      </c>
      <c r="H3" s="5">
        <f>E3*G3</f>
        <v>0.51166743779721868</v>
      </c>
      <c r="I3" s="5">
        <f>ABS(C3-B3)</f>
        <v>1</v>
      </c>
    </row>
    <row r="4" spans="1:9" x14ac:dyDescent="0.25">
      <c r="A4" s="3">
        <f>A3+1</f>
        <v>1</v>
      </c>
      <c r="B4" s="5">
        <f>IF(H3&lt;0, B3, D3)</f>
        <v>5.5</v>
      </c>
      <c r="C4" s="5">
        <f>IF(H3&lt;0, D3, C3)</f>
        <v>6</v>
      </c>
      <c r="D4" s="9">
        <f>(B4+C4)/2</f>
        <v>5.75</v>
      </c>
      <c r="E4" s="5">
        <f t="shared" si="0"/>
        <v>0.39498297615699496</v>
      </c>
      <c r="F4" s="5">
        <f t="shared" si="0"/>
        <v>-0.57663997582039839</v>
      </c>
      <c r="G4" s="5">
        <f t="shared" si="0"/>
        <v>-8.4662019909737651E-2</v>
      </c>
      <c r="H4" s="9">
        <f>E4*G4</f>
        <v>-3.3440056591410937E-2</v>
      </c>
      <c r="I4" s="10">
        <f>ABS(C4-B4)</f>
        <v>0.5</v>
      </c>
    </row>
    <row r="5" spans="1:9" x14ac:dyDescent="0.25">
      <c r="A5" s="3">
        <f t="shared" ref="A5:A18" si="1">A4+1</f>
        <v>2</v>
      </c>
      <c r="B5" s="5">
        <f t="shared" ref="B5:B18" si="2">IF(H4&lt;0, B4, D4)</f>
        <v>5.5</v>
      </c>
      <c r="C5" s="5">
        <f t="shared" ref="C5:C18" si="3">IF(H4&lt;0, D4, C4)</f>
        <v>5.75</v>
      </c>
      <c r="D5" s="9">
        <f t="shared" ref="D5:D18" si="4">(B5+C5)/2</f>
        <v>5.625</v>
      </c>
      <c r="E5" s="5">
        <f t="shared" si="0"/>
        <v>0.39498297615699496</v>
      </c>
      <c r="F5" s="5">
        <f t="shared" si="0"/>
        <v>-8.4662019909737651E-2</v>
      </c>
      <c r="G5" s="5">
        <f t="shared" si="0"/>
        <v>0.15705352099906067</v>
      </c>
      <c r="H5" s="9">
        <f t="shared" ref="H5:H18" si="5">E5*G5</f>
        <v>6.2033467140144086E-2</v>
      </c>
      <c r="I5" s="10">
        <f t="shared" ref="I5:I18" si="6">ABS(C5-B5)</f>
        <v>0.25</v>
      </c>
    </row>
    <row r="6" spans="1:9" x14ac:dyDescent="0.25">
      <c r="A6" s="3">
        <f t="shared" si="1"/>
        <v>3</v>
      </c>
      <c r="B6" s="5">
        <f t="shared" si="2"/>
        <v>5.625</v>
      </c>
      <c r="C6" s="5">
        <f t="shared" si="3"/>
        <v>5.75</v>
      </c>
      <c r="D6" s="9">
        <f t="shared" si="4"/>
        <v>5.6875</v>
      </c>
      <c r="E6" s="5">
        <f t="shared" si="0"/>
        <v>0.15705352099906067</v>
      </c>
      <c r="F6" s="5">
        <f t="shared" si="0"/>
        <v>-8.4662019909737651E-2</v>
      </c>
      <c r="G6" s="5">
        <f t="shared" si="0"/>
        <v>3.6625586454641201E-2</v>
      </c>
      <c r="H6" s="9">
        <f t="shared" si="5"/>
        <v>5.7521773113569036E-3</v>
      </c>
      <c r="I6" s="10">
        <f t="shared" si="6"/>
        <v>0.125</v>
      </c>
    </row>
    <row r="7" spans="1:9" x14ac:dyDescent="0.25">
      <c r="A7" s="3">
        <f t="shared" si="1"/>
        <v>4</v>
      </c>
      <c r="B7" s="5">
        <f t="shared" si="2"/>
        <v>5.6875</v>
      </c>
      <c r="C7" s="5">
        <f t="shared" si="3"/>
        <v>5.75</v>
      </c>
      <c r="D7" s="9">
        <f t="shared" si="4"/>
        <v>5.71875</v>
      </c>
      <c r="E7" s="5">
        <f t="shared" si="0"/>
        <v>3.6625586454641201E-2</v>
      </c>
      <c r="F7" s="5">
        <f t="shared" si="0"/>
        <v>-8.4662019909737651E-2</v>
      </c>
      <c r="G7" s="5">
        <f t="shared" si="0"/>
        <v>-2.3916234089780275E-2</v>
      </c>
      <c r="H7" s="9">
        <f t="shared" si="5"/>
        <v>-8.759460993246846E-4</v>
      </c>
      <c r="I7" s="10">
        <f t="shared" si="6"/>
        <v>6.25E-2</v>
      </c>
    </row>
    <row r="8" spans="1:9" x14ac:dyDescent="0.25">
      <c r="A8" s="3">
        <f t="shared" si="1"/>
        <v>5</v>
      </c>
      <c r="B8" s="5">
        <f t="shared" si="2"/>
        <v>5.6875</v>
      </c>
      <c r="C8" s="5">
        <f t="shared" si="3"/>
        <v>5.71875</v>
      </c>
      <c r="D8" s="9">
        <f t="shared" si="4"/>
        <v>5.703125</v>
      </c>
      <c r="E8" s="5">
        <f t="shared" si="0"/>
        <v>3.6625586454641201E-2</v>
      </c>
      <c r="F8" s="5">
        <f t="shared" si="0"/>
        <v>-2.3916234089780275E-2</v>
      </c>
      <c r="G8" s="5">
        <f t="shared" si="0"/>
        <v>6.3808584027273962E-3</v>
      </c>
      <c r="H8" s="9">
        <f t="shared" si="5"/>
        <v>2.3370268108391601E-4</v>
      </c>
      <c r="I8" s="10">
        <f t="shared" si="6"/>
        <v>3.125E-2</v>
      </c>
    </row>
    <row r="9" spans="1:9" x14ac:dyDescent="0.25">
      <c r="A9" s="3">
        <f t="shared" si="1"/>
        <v>6</v>
      </c>
      <c r="B9" s="5">
        <f t="shared" si="2"/>
        <v>5.703125</v>
      </c>
      <c r="C9" s="5">
        <f t="shared" si="3"/>
        <v>5.71875</v>
      </c>
      <c r="D9" s="9">
        <f t="shared" si="4"/>
        <v>5.7109375</v>
      </c>
      <c r="E9" s="5">
        <f t="shared" si="0"/>
        <v>6.3808584027273962E-3</v>
      </c>
      <c r="F9" s="5">
        <f t="shared" si="0"/>
        <v>-2.3916234089780275E-2</v>
      </c>
      <c r="G9" s="5">
        <f t="shared" si="0"/>
        <v>-8.7612279860023179E-3</v>
      </c>
      <c r="H9" s="9">
        <f t="shared" si="5"/>
        <v>-5.590415521269331E-5</v>
      </c>
      <c r="I9" s="10">
        <f t="shared" si="6"/>
        <v>1.5625E-2</v>
      </c>
    </row>
    <row r="10" spans="1:9" x14ac:dyDescent="0.25">
      <c r="A10" s="3">
        <f t="shared" si="1"/>
        <v>7</v>
      </c>
      <c r="B10" s="5">
        <f t="shared" si="2"/>
        <v>5.703125</v>
      </c>
      <c r="C10" s="5">
        <f t="shared" si="3"/>
        <v>5.7109375</v>
      </c>
      <c r="D10" s="9">
        <f t="shared" si="4"/>
        <v>5.70703125</v>
      </c>
      <c r="E10" s="5">
        <f t="shared" si="0"/>
        <v>6.3808584027273962E-3</v>
      </c>
      <c r="F10" s="5">
        <f t="shared" si="0"/>
        <v>-8.7612279860023179E-3</v>
      </c>
      <c r="G10" s="5">
        <f t="shared" si="0"/>
        <v>-1.1885591072906543E-3</v>
      </c>
      <c r="H10" s="9">
        <f t="shared" si="5"/>
        <v>-7.5840273668937444E-6</v>
      </c>
      <c r="I10" s="10">
        <f t="shared" si="6"/>
        <v>7.8125E-3</v>
      </c>
    </row>
    <row r="11" spans="1:9" x14ac:dyDescent="0.25">
      <c r="A11" s="3">
        <f t="shared" si="1"/>
        <v>8</v>
      </c>
      <c r="B11" s="5">
        <f t="shared" si="2"/>
        <v>5.703125</v>
      </c>
      <c r="C11" s="5">
        <f t="shared" si="3"/>
        <v>5.70703125</v>
      </c>
      <c r="D11" s="9">
        <f t="shared" si="4"/>
        <v>5.705078125</v>
      </c>
      <c r="E11" s="5">
        <f t="shared" si="0"/>
        <v>6.3808584027273962E-3</v>
      </c>
      <c r="F11" s="5">
        <f t="shared" si="0"/>
        <v>-1.1885591072906543E-3</v>
      </c>
      <c r="G11" s="5">
        <f t="shared" si="0"/>
        <v>2.5965574081250331E-3</v>
      </c>
      <c r="H11" s="9">
        <f t="shared" si="5"/>
        <v>1.6568265155798686E-5</v>
      </c>
      <c r="I11" s="10">
        <f t="shared" si="6"/>
        <v>3.90625E-3</v>
      </c>
    </row>
    <row r="12" spans="1:9" x14ac:dyDescent="0.25">
      <c r="A12" s="3">
        <f t="shared" si="1"/>
        <v>9</v>
      </c>
      <c r="B12" s="5">
        <f t="shared" si="2"/>
        <v>5.705078125</v>
      </c>
      <c r="C12" s="5">
        <f t="shared" si="3"/>
        <v>5.70703125</v>
      </c>
      <c r="D12" s="9">
        <f t="shared" si="4"/>
        <v>5.7060546875</v>
      </c>
      <c r="E12" s="5">
        <f t="shared" si="0"/>
        <v>2.5965574081250331E-3</v>
      </c>
      <c r="F12" s="5">
        <f t="shared" si="0"/>
        <v>-1.1885591072906543E-3</v>
      </c>
      <c r="G12" s="5">
        <f t="shared" si="0"/>
        <v>7.0410092313410999E-4</v>
      </c>
      <c r="H12" s="9">
        <f t="shared" si="5"/>
        <v>1.8282384680315479E-6</v>
      </c>
      <c r="I12" s="10">
        <f t="shared" si="6"/>
        <v>1.953125E-3</v>
      </c>
    </row>
    <row r="13" spans="1:9" x14ac:dyDescent="0.25">
      <c r="A13" s="3">
        <f t="shared" si="1"/>
        <v>10</v>
      </c>
      <c r="B13" s="5">
        <f t="shared" si="2"/>
        <v>5.7060546875</v>
      </c>
      <c r="C13" s="5">
        <f t="shared" si="3"/>
        <v>5.70703125</v>
      </c>
      <c r="D13" s="9">
        <f t="shared" si="4"/>
        <v>5.70654296875</v>
      </c>
      <c r="E13" s="5">
        <f t="shared" si="0"/>
        <v>7.0410092313410999E-4</v>
      </c>
      <c r="F13" s="5">
        <f t="shared" si="0"/>
        <v>-1.1885591072906543E-3</v>
      </c>
      <c r="G13" s="5">
        <f t="shared" si="0"/>
        <v>-2.4220366982463659E-4</v>
      </c>
      <c r="H13" s="9">
        <f t="shared" si="5"/>
        <v>-1.705358275099958E-7</v>
      </c>
      <c r="I13" s="10">
        <f t="shared" si="6"/>
        <v>9.765625E-4</v>
      </c>
    </row>
    <row r="14" spans="1:9" x14ac:dyDescent="0.25">
      <c r="A14" s="3">
        <f t="shared" si="1"/>
        <v>11</v>
      </c>
      <c r="B14" s="5">
        <f t="shared" si="2"/>
        <v>5.7060546875</v>
      </c>
      <c r="C14" s="5">
        <f t="shared" si="3"/>
        <v>5.70654296875</v>
      </c>
      <c r="D14" s="9">
        <f t="shared" si="4"/>
        <v>5.706298828125</v>
      </c>
      <c r="E14" s="5">
        <f t="shared" si="0"/>
        <v>7.0410092313410999E-4</v>
      </c>
      <c r="F14" s="5">
        <f t="shared" si="0"/>
        <v>-2.4220366982463659E-4</v>
      </c>
      <c r="G14" s="5">
        <f t="shared" si="0"/>
        <v>2.3095498483405308E-4</v>
      </c>
      <c r="H14" s="9">
        <f t="shared" si="5"/>
        <v>1.6261561802408114E-7</v>
      </c>
      <c r="I14" s="10">
        <f t="shared" si="6"/>
        <v>4.8828125E-4</v>
      </c>
    </row>
    <row r="15" spans="1:9" x14ac:dyDescent="0.25">
      <c r="A15" s="3">
        <f t="shared" si="1"/>
        <v>12</v>
      </c>
      <c r="B15" s="5">
        <f t="shared" si="2"/>
        <v>5.706298828125</v>
      </c>
      <c r="C15" s="5">
        <f t="shared" si="3"/>
        <v>5.70654296875</v>
      </c>
      <c r="D15" s="9">
        <f t="shared" si="4"/>
        <v>5.7064208984375</v>
      </c>
      <c r="E15" s="5">
        <f t="shared" si="0"/>
        <v>2.3095498483405308E-4</v>
      </c>
      <c r="F15" s="5">
        <f t="shared" si="0"/>
        <v>-2.4220366982463659E-4</v>
      </c>
      <c r="G15" s="5">
        <f t="shared" si="0"/>
        <v>-5.622753277645387E-6</v>
      </c>
      <c r="H15" s="9">
        <f t="shared" si="5"/>
        <v>-1.2986028979642125E-9</v>
      </c>
      <c r="I15" s="10">
        <f t="shared" si="6"/>
        <v>2.44140625E-4</v>
      </c>
    </row>
    <row r="16" spans="1:9" x14ac:dyDescent="0.25">
      <c r="A16" s="3">
        <f t="shared" si="1"/>
        <v>13</v>
      </c>
      <c r="B16" s="5">
        <f t="shared" si="2"/>
        <v>5.706298828125</v>
      </c>
      <c r="C16" s="5">
        <f t="shared" si="3"/>
        <v>5.7064208984375</v>
      </c>
      <c r="D16" s="9">
        <f t="shared" si="4"/>
        <v>5.70635986328125</v>
      </c>
      <c r="E16" s="5">
        <f t="shared" si="0"/>
        <v>2.3095498483405308E-4</v>
      </c>
      <c r="F16" s="5">
        <f t="shared" si="0"/>
        <v>-5.622753277645387E-6</v>
      </c>
      <c r="G16" s="5">
        <f t="shared" si="0"/>
        <v>1.1266651312347165E-4</v>
      </c>
      <c r="H16" s="9">
        <f t="shared" si="5"/>
        <v>2.6020892829737035E-8</v>
      </c>
      <c r="I16" s="10">
        <f t="shared" si="6"/>
        <v>1.220703125E-4</v>
      </c>
    </row>
    <row r="17" spans="1:9" x14ac:dyDescent="0.25">
      <c r="A17" s="3">
        <f t="shared" si="1"/>
        <v>14</v>
      </c>
      <c r="B17" s="5">
        <f t="shared" si="2"/>
        <v>5.70635986328125</v>
      </c>
      <c r="C17" s="5">
        <f t="shared" si="3"/>
        <v>5.7064208984375</v>
      </c>
      <c r="D17" s="9">
        <f t="shared" si="4"/>
        <v>5.706390380859375</v>
      </c>
      <c r="E17" s="5">
        <f t="shared" si="0"/>
        <v>1.1266651312347165E-4</v>
      </c>
      <c r="F17" s="5">
        <f t="shared" si="0"/>
        <v>-5.622753277645387E-6</v>
      </c>
      <c r="G17" s="5">
        <f t="shared" si="0"/>
        <v>5.3521979254123053E-5</v>
      </c>
      <c r="H17" s="9">
        <f t="shared" si="5"/>
        <v>6.0301347780288323E-9</v>
      </c>
      <c r="I17" s="10">
        <f t="shared" si="6"/>
        <v>6.103515625E-5</v>
      </c>
    </row>
    <row r="18" spans="1:9" x14ac:dyDescent="0.25">
      <c r="A18" s="3">
        <f t="shared" si="1"/>
        <v>15</v>
      </c>
      <c r="B18" s="5">
        <f t="shared" si="2"/>
        <v>5.706390380859375</v>
      </c>
      <c r="C18" s="5">
        <f t="shared" si="3"/>
        <v>5.7064208984375</v>
      </c>
      <c r="D18" s="9">
        <f t="shared" si="4"/>
        <v>5.7064056396484375</v>
      </c>
      <c r="E18" s="5">
        <f t="shared" si="0"/>
        <v>5.3521979254123053E-5</v>
      </c>
      <c r="F18" s="5">
        <f t="shared" si="0"/>
        <v>-5.622753277645387E-6</v>
      </c>
      <c r="G18" s="5">
        <f t="shared" si="0"/>
        <v>2.3949637820486203E-5</v>
      </c>
      <c r="H18" s="9">
        <f t="shared" si="5"/>
        <v>1.2818320185718235E-9</v>
      </c>
      <c r="I18" s="10">
        <f t="shared" si="6"/>
        <v>3.0517578125E-5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B3" sqref="B3"/>
    </sheetView>
  </sheetViews>
  <sheetFormatPr baseColWidth="10" defaultRowHeight="15" x14ac:dyDescent="0.25"/>
  <sheetData>
    <row r="1" spans="1:7" x14ac:dyDescent="0.25">
      <c r="A1" t="s">
        <v>25</v>
      </c>
      <c r="C1" s="11" t="s">
        <v>23</v>
      </c>
    </row>
    <row r="2" spans="1:7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32</v>
      </c>
      <c r="G2" s="12" t="s">
        <v>38</v>
      </c>
    </row>
    <row r="3" spans="1:7" x14ac:dyDescent="0.25">
      <c r="A3" s="4">
        <v>0</v>
      </c>
      <c r="B3" s="13">
        <v>5.6</v>
      </c>
      <c r="C3" s="5">
        <f>3*SIN(0.5*B3)-0.5*B3+2</f>
        <v>0.2049644504677155</v>
      </c>
      <c r="D3" s="5">
        <f>1.5*COS(0.5*B3)-0.5</f>
        <v>-1.9133335110029872</v>
      </c>
      <c r="E3" s="5">
        <f>B3-C3/D3</f>
        <v>5.7071242673005136</v>
      </c>
      <c r="F3" s="5">
        <f>ABS(E3-B3)</f>
        <v>0.10712426730051394</v>
      </c>
      <c r="G3" s="5">
        <f>3*SIN(0.5*E3)-0.5*E3+2</f>
        <v>-1.3688450421129872E-3</v>
      </c>
    </row>
    <row r="4" spans="1:7" x14ac:dyDescent="0.25">
      <c r="A4" s="4">
        <f>A3+1</f>
        <v>1</v>
      </c>
      <c r="B4" s="5">
        <f>E3</f>
        <v>5.7071242673005136</v>
      </c>
      <c r="C4" s="5">
        <f>3*SIN(0.5*B4)-0.5*B4+2</f>
        <v>-1.3688450421129872E-3</v>
      </c>
      <c r="D4" s="5">
        <f>1.5*COS(0.5*B4)-0.5</f>
        <v>-1.9382077908677902</v>
      </c>
      <c r="E4" s="5">
        <f>B4-C4/D4</f>
        <v>5.7064180246321259</v>
      </c>
      <c r="F4" s="5">
        <f>ABS(E4-B4)</f>
        <v>7.0624266838770211E-4</v>
      </c>
      <c r="G4" s="5">
        <f>3*SIN(0.5*E4)-0.5*E4+2</f>
        <v>-5.3153092594016016E-8</v>
      </c>
    </row>
    <row r="5" spans="1:7" x14ac:dyDescent="0.25">
      <c r="A5" s="4">
        <f t="shared" ref="A5:A8" si="0">A4+1</f>
        <v>2</v>
      </c>
      <c r="B5" s="5">
        <f t="shared" ref="B5:B8" si="1">E4</f>
        <v>5.7064180246321259</v>
      </c>
      <c r="C5" s="5">
        <f t="shared" ref="C5:C8" si="2">3*SIN(0.5*B5)-0.5*B5+2</f>
        <v>-5.3153092594016016E-8</v>
      </c>
      <c r="D5" s="5">
        <f t="shared" ref="D5:D8" si="3">1.5*COS(0.5*B5)-0.5</f>
        <v>-1.9380572373869582</v>
      </c>
      <c r="E5" s="5">
        <f t="shared" ref="E5:E8" si="4">B5-C5/D5</f>
        <v>5.7064179972061595</v>
      </c>
      <c r="F5" s="5">
        <f t="shared" ref="F5:F8" si="5">ABS(E5-B5)</f>
        <v>2.7425966386829259E-8</v>
      </c>
      <c r="G5" s="5">
        <f t="shared" ref="G5:G8" si="6">3*SIN(0.5*E5)-0.5*E5+2</f>
        <v>0</v>
      </c>
    </row>
    <row r="6" spans="1:7" x14ac:dyDescent="0.25">
      <c r="A6" s="4">
        <f t="shared" si="0"/>
        <v>3</v>
      </c>
      <c r="B6" s="5">
        <f t="shared" si="1"/>
        <v>5.7064179972061595</v>
      </c>
      <c r="C6" s="5">
        <f t="shared" si="2"/>
        <v>0</v>
      </c>
      <c r="D6" s="5">
        <f t="shared" si="3"/>
        <v>-1.938057231536938</v>
      </c>
      <c r="E6" s="5">
        <f t="shared" si="4"/>
        <v>5.7064179972061595</v>
      </c>
      <c r="F6" s="5">
        <f t="shared" si="5"/>
        <v>0</v>
      </c>
      <c r="G6" s="5">
        <f t="shared" si="6"/>
        <v>0</v>
      </c>
    </row>
    <row r="7" spans="1:7" x14ac:dyDescent="0.25">
      <c r="A7" s="4">
        <f t="shared" si="0"/>
        <v>4</v>
      </c>
      <c r="B7" s="5">
        <f t="shared" si="1"/>
        <v>5.7064179972061595</v>
      </c>
      <c r="C7" s="5">
        <f t="shared" si="2"/>
        <v>0</v>
      </c>
      <c r="D7" s="5">
        <f t="shared" si="3"/>
        <v>-1.938057231536938</v>
      </c>
      <c r="E7" s="5">
        <f t="shared" si="4"/>
        <v>5.7064179972061595</v>
      </c>
      <c r="F7" s="5">
        <f t="shared" si="5"/>
        <v>0</v>
      </c>
      <c r="G7" s="5">
        <f t="shared" si="6"/>
        <v>0</v>
      </c>
    </row>
    <row r="8" spans="1:7" x14ac:dyDescent="0.25">
      <c r="A8" s="4">
        <f t="shared" si="0"/>
        <v>5</v>
      </c>
      <c r="B8" s="5">
        <f t="shared" si="1"/>
        <v>5.7064179972061595</v>
      </c>
      <c r="C8" s="5">
        <f t="shared" si="2"/>
        <v>0</v>
      </c>
      <c r="D8" s="5">
        <f t="shared" si="3"/>
        <v>-1.938057231536938</v>
      </c>
      <c r="E8" s="5">
        <f t="shared" si="4"/>
        <v>5.7064179972061595</v>
      </c>
      <c r="F8" s="5">
        <f t="shared" si="5"/>
        <v>0</v>
      </c>
      <c r="G8" s="5">
        <f t="shared" si="6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15" sqref="E15"/>
    </sheetView>
  </sheetViews>
  <sheetFormatPr baseColWidth="10" defaultRowHeight="15" x14ac:dyDescent="0.25"/>
  <sheetData>
    <row r="1" spans="1:7" x14ac:dyDescent="0.25">
      <c r="A1" t="s">
        <v>25</v>
      </c>
      <c r="C1" s="11" t="s">
        <v>39</v>
      </c>
    </row>
    <row r="2" spans="1:7" x14ac:dyDescent="0.25">
      <c r="A2" s="4" t="s">
        <v>33</v>
      </c>
      <c r="B2" s="4" t="s">
        <v>40</v>
      </c>
      <c r="C2" s="4" t="s">
        <v>34</v>
      </c>
      <c r="D2" s="4" t="s">
        <v>41</v>
      </c>
      <c r="E2" s="4" t="s">
        <v>35</v>
      </c>
      <c r="F2" s="4" t="s">
        <v>37</v>
      </c>
      <c r="G2" s="4" t="s">
        <v>32</v>
      </c>
    </row>
    <row r="3" spans="1:7" x14ac:dyDescent="0.25">
      <c r="A3" s="8">
        <v>0</v>
      </c>
      <c r="B3" s="5">
        <v>5</v>
      </c>
      <c r="C3" s="5">
        <v>6</v>
      </c>
      <c r="D3" s="9">
        <f>3*SIN(0.5*B3)-0.5*B3+2</f>
        <v>1.2954164323118698</v>
      </c>
      <c r="E3" s="9">
        <f>3*SIN(0.5*C3)-0.5*C3+2</f>
        <v>-0.57663997582039839</v>
      </c>
      <c r="F3" s="9">
        <f>C3-E3*(C3-B3)/(E3-D3)</f>
        <v>5.6919751064575523</v>
      </c>
      <c r="G3" s="9">
        <f>ABS(F3-C3)</f>
        <v>0.30802489354244766</v>
      </c>
    </row>
    <row r="4" spans="1:7" x14ac:dyDescent="0.25">
      <c r="A4" s="8">
        <f>A3+1</f>
        <v>1</v>
      </c>
      <c r="B4" s="5">
        <f>C3</f>
        <v>6</v>
      </c>
      <c r="C4" s="5">
        <f>F3</f>
        <v>5.6919751064575523</v>
      </c>
      <c r="D4" s="5">
        <f>3*SIN(0.5*B4)-0.5*B4+2</f>
        <v>-0.57663997582039839</v>
      </c>
      <c r="E4" s="5">
        <f>3*SIN(0.5*C4)-0.5*C4+2</f>
        <v>2.7968721321341095E-2</v>
      </c>
      <c r="F4" s="5">
        <f>C4-E4*(C4-B4)/(E4-D4)</f>
        <v>5.7062240950153615</v>
      </c>
      <c r="G4" s="9">
        <f>ABS(F4-C4)</f>
        <v>1.4248988557809206E-2</v>
      </c>
    </row>
    <row r="5" spans="1:7" x14ac:dyDescent="0.25">
      <c r="A5" s="8">
        <f t="shared" ref="A5:A7" si="0">A4+1</f>
        <v>2</v>
      </c>
      <c r="B5" s="5">
        <f t="shared" ref="B5:B7" si="1">C4</f>
        <v>5.6919751064575523</v>
      </c>
      <c r="C5" s="5">
        <f t="shared" ref="C5:C7" si="2">F4</f>
        <v>5.7062240950153615</v>
      </c>
      <c r="D5" s="5">
        <f t="shared" ref="D5:E7" si="3">3*SIN(0.5*B5)-0.5*B5+2</f>
        <v>2.7968721321341095E-2</v>
      </c>
      <c r="E5" s="5">
        <f t="shared" si="3"/>
        <v>3.7578953277472849E-4</v>
      </c>
      <c r="F5" s="5">
        <f t="shared" ref="F5:F7" si="4">C5-E5*(C5-B5)/(E5-D5)</f>
        <v>5.7064181527107776</v>
      </c>
      <c r="G5" s="9">
        <f t="shared" ref="G5:G7" si="5">ABS(F5-C5)</f>
        <v>1.940576954160278E-4</v>
      </c>
    </row>
    <row r="6" spans="1:7" x14ac:dyDescent="0.25">
      <c r="A6" s="8">
        <f t="shared" si="0"/>
        <v>3</v>
      </c>
      <c r="B6" s="5">
        <f t="shared" si="1"/>
        <v>5.7062240950153615</v>
      </c>
      <c r="C6" s="5">
        <f t="shared" si="2"/>
        <v>5.7064181527107776</v>
      </c>
      <c r="D6" s="5">
        <f t="shared" si="3"/>
        <v>3.7578953277472849E-4</v>
      </c>
      <c r="E6" s="5">
        <f t="shared" si="3"/>
        <v>-3.0137685236297784E-7</v>
      </c>
      <c r="F6" s="5">
        <f t="shared" si="4"/>
        <v>5.7064179972044995</v>
      </c>
      <c r="G6" s="9">
        <f t="shared" si="5"/>
        <v>1.5550627807670026E-7</v>
      </c>
    </row>
    <row r="7" spans="1:7" x14ac:dyDescent="0.25">
      <c r="A7" s="8">
        <f t="shared" si="0"/>
        <v>4</v>
      </c>
      <c r="B7" s="5">
        <f t="shared" si="1"/>
        <v>5.7064181527107776</v>
      </c>
      <c r="C7" s="5">
        <f t="shared" si="2"/>
        <v>5.7064179972044995</v>
      </c>
      <c r="D7" s="5">
        <f t="shared" si="3"/>
        <v>-3.0137685236297784E-7</v>
      </c>
      <c r="E7" s="5">
        <f t="shared" si="3"/>
        <v>3.2172042807587786E-12</v>
      </c>
      <c r="F7" s="5">
        <f t="shared" si="4"/>
        <v>5.7064179972061595</v>
      </c>
      <c r="G7" s="9">
        <f t="shared" si="5"/>
        <v>1.6600054664195341E-12</v>
      </c>
    </row>
    <row r="8" spans="1:7" x14ac:dyDescent="0.25">
      <c r="A8" s="8">
        <f>A7+1</f>
        <v>5</v>
      </c>
      <c r="B8" s="5">
        <f>C7</f>
        <v>5.7064179972044995</v>
      </c>
      <c r="C8" s="5">
        <f>F7</f>
        <v>5.7064179972061595</v>
      </c>
      <c r="D8" s="5">
        <f>3*SIN(0.5*B8)-0.5*B8+2</f>
        <v>3.2172042807587786E-12</v>
      </c>
      <c r="E8" s="5">
        <f>3*SIN(0.5*C8)-0.5*C8+2</f>
        <v>0</v>
      </c>
      <c r="F8" s="5">
        <f>C8-E8*(C8-B8)/(E8-D8)</f>
        <v>5.7064179972061595</v>
      </c>
      <c r="G8" s="9">
        <f>ABS(F8-C8)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G21" sqref="G21"/>
    </sheetView>
  </sheetViews>
  <sheetFormatPr baseColWidth="10" defaultRowHeight="15" x14ac:dyDescent="0.25"/>
  <sheetData>
    <row r="1" spans="1:9" x14ac:dyDescent="0.25">
      <c r="A1" t="s">
        <v>43</v>
      </c>
      <c r="C1" t="s">
        <v>20</v>
      </c>
    </row>
    <row r="2" spans="1:9" x14ac:dyDescent="0.25">
      <c r="A2" s="7" t="s">
        <v>10</v>
      </c>
      <c r="B2" s="8" t="s">
        <v>3</v>
      </c>
      <c r="C2" s="8" t="s">
        <v>4</v>
      </c>
      <c r="D2" s="8" t="s">
        <v>27</v>
      </c>
      <c r="E2" s="8" t="s">
        <v>28</v>
      </c>
      <c r="F2" s="8" t="s">
        <v>29</v>
      </c>
      <c r="G2" s="8" t="s">
        <v>30</v>
      </c>
      <c r="H2" s="7" t="s">
        <v>31</v>
      </c>
      <c r="I2" s="8" t="s">
        <v>32</v>
      </c>
    </row>
    <row r="3" spans="1:9" x14ac:dyDescent="0.25">
      <c r="A3" s="15">
        <v>0</v>
      </c>
      <c r="B3" s="5">
        <v>1</v>
      </c>
      <c r="C3" s="5">
        <v>2</v>
      </c>
      <c r="D3" s="9">
        <f>(B3+C3)/2</f>
        <v>1.5</v>
      </c>
      <c r="E3" s="5">
        <f t="shared" ref="E3:G4" si="0">B3^3 - (B3^2)*EXP(-0.5*B3) - 3*B3 + 1</f>
        <v>-1.6065306597126332</v>
      </c>
      <c r="F3" s="5">
        <f t="shared" si="0"/>
        <v>1.5284822353142307</v>
      </c>
      <c r="G3" s="5">
        <f t="shared" si="0"/>
        <v>-1.1878247436672833</v>
      </c>
      <c r="H3" s="5">
        <f>E3*G3</f>
        <v>1.9082768690667902</v>
      </c>
      <c r="I3" s="5">
        <f>ABS(C3-B3)</f>
        <v>1</v>
      </c>
    </row>
    <row r="4" spans="1:9" x14ac:dyDescent="0.25">
      <c r="A4" s="15">
        <f>A3+1</f>
        <v>1</v>
      </c>
      <c r="B4" s="5">
        <f>IF(H3&lt;0, B3, D3)</f>
        <v>1.5</v>
      </c>
      <c r="C4" s="5">
        <f>IF(H3&lt;0, D3, C3)</f>
        <v>2</v>
      </c>
      <c r="D4" s="9">
        <f>(B4+C4)/2</f>
        <v>1.75</v>
      </c>
      <c r="E4" s="5">
        <f t="shared" si="0"/>
        <v>-1.1878247436672833</v>
      </c>
      <c r="F4" s="5">
        <f t="shared" si="0"/>
        <v>1.5284822353142307</v>
      </c>
      <c r="G4" s="5">
        <f t="shared" si="0"/>
        <v>-0.16726493526543162</v>
      </c>
      <c r="H4" s="5">
        <f>E4*G4</f>
        <v>0.19868142885618606</v>
      </c>
      <c r="I4" s="5">
        <f>ABS(C4-B4)</f>
        <v>0.5</v>
      </c>
    </row>
    <row r="5" spans="1:9" x14ac:dyDescent="0.25">
      <c r="A5" s="15">
        <f t="shared" ref="A5:A17" si="1">A4+1</f>
        <v>2</v>
      </c>
      <c r="B5" s="5">
        <f t="shared" ref="B5:B17" si="2">IF(H4&lt;0, B4, D4)</f>
        <v>1.75</v>
      </c>
      <c r="C5" s="5">
        <f t="shared" ref="C5:C17" si="3">IF(H4&lt;0, D4, C4)</f>
        <v>2</v>
      </c>
      <c r="D5" s="9">
        <f t="shared" ref="D5:D17" si="4">(B5+C5)/2</f>
        <v>1.875</v>
      </c>
      <c r="E5" s="5">
        <f t="shared" ref="E5:E17" si="5">B5^3 - (B5^2)*EXP(-0.5*B5) - 3*B5 + 1</f>
        <v>-0.16726493526543162</v>
      </c>
      <c r="F5" s="5">
        <f t="shared" ref="F5:F17" si="6">C5^3 - (C5^2)*EXP(-0.5*C5) - 3*C5 + 1</f>
        <v>1.5284822353142307</v>
      </c>
      <c r="G5" s="5">
        <f t="shared" ref="G5:G17" si="7">D5^3 - (D5^2)*EXP(-0.5*D5) - 3*D5 + 1</f>
        <v>0.59005834371437871</v>
      </c>
      <c r="H5" s="5">
        <f t="shared" ref="H5:H17" si="8">E5*G5</f>
        <v>-9.8696070664213362E-2</v>
      </c>
      <c r="I5" s="5">
        <f t="shared" ref="I5:I17" si="9">ABS(C5-B5)</f>
        <v>0.25</v>
      </c>
    </row>
    <row r="6" spans="1:9" x14ac:dyDescent="0.25">
      <c r="A6" s="15">
        <f t="shared" si="1"/>
        <v>3</v>
      </c>
      <c r="B6" s="5">
        <f t="shared" si="2"/>
        <v>1.75</v>
      </c>
      <c r="C6" s="5">
        <f t="shared" si="3"/>
        <v>1.875</v>
      </c>
      <c r="D6" s="9">
        <f t="shared" si="4"/>
        <v>1.8125</v>
      </c>
      <c r="E6" s="5">
        <f t="shared" si="5"/>
        <v>-0.16726493526543162</v>
      </c>
      <c r="F6" s="5">
        <f t="shared" si="6"/>
        <v>0.59005834371437871</v>
      </c>
      <c r="G6" s="5">
        <f t="shared" si="7"/>
        <v>0.18952259218409928</v>
      </c>
      <c r="H6" s="5">
        <f t="shared" si="8"/>
        <v>-3.1700484113010165E-2</v>
      </c>
      <c r="I6" s="5">
        <f t="shared" si="9"/>
        <v>0.125</v>
      </c>
    </row>
    <row r="7" spans="1:9" x14ac:dyDescent="0.25">
      <c r="A7" s="15">
        <f t="shared" si="1"/>
        <v>4</v>
      </c>
      <c r="B7" s="5">
        <f t="shared" si="2"/>
        <v>1.75</v>
      </c>
      <c r="C7" s="5">
        <f t="shared" si="3"/>
        <v>1.8125</v>
      </c>
      <c r="D7" s="9">
        <f t="shared" si="4"/>
        <v>1.78125</v>
      </c>
      <c r="E7" s="5">
        <f t="shared" si="5"/>
        <v>-0.16726493526543162</v>
      </c>
      <c r="F7" s="5">
        <f t="shared" si="6"/>
        <v>0.18952259218409928</v>
      </c>
      <c r="G7" s="5">
        <f t="shared" si="7"/>
        <v>5.7561880955994127E-3</v>
      </c>
      <c r="H7" s="5">
        <f t="shared" si="8"/>
        <v>-9.6280842918608392E-4</v>
      </c>
      <c r="I7" s="5">
        <f t="shared" si="9"/>
        <v>6.25E-2</v>
      </c>
    </row>
    <row r="8" spans="1:9" x14ac:dyDescent="0.25">
      <c r="A8" s="15">
        <f t="shared" si="1"/>
        <v>5</v>
      </c>
      <c r="B8" s="5">
        <f t="shared" si="2"/>
        <v>1.75</v>
      </c>
      <c r="C8" s="5">
        <f t="shared" si="3"/>
        <v>1.78125</v>
      </c>
      <c r="D8" s="9">
        <f t="shared" si="4"/>
        <v>1.765625</v>
      </c>
      <c r="E8" s="5">
        <f t="shared" si="5"/>
        <v>-0.16726493526543162</v>
      </c>
      <c r="F8" s="5">
        <f t="shared" si="6"/>
        <v>5.7561880955994127E-3</v>
      </c>
      <c r="G8" s="5">
        <f t="shared" si="7"/>
        <v>-8.2085517878812908E-2</v>
      </c>
      <c r="H8" s="5">
        <f t="shared" si="8"/>
        <v>1.3730028834229071E-2</v>
      </c>
      <c r="I8" s="5">
        <f t="shared" si="9"/>
        <v>3.125E-2</v>
      </c>
    </row>
    <row r="9" spans="1:9" x14ac:dyDescent="0.25">
      <c r="A9" s="15">
        <f t="shared" si="1"/>
        <v>6</v>
      </c>
      <c r="B9" s="5">
        <f t="shared" si="2"/>
        <v>1.765625</v>
      </c>
      <c r="C9" s="5">
        <f t="shared" si="3"/>
        <v>1.78125</v>
      </c>
      <c r="D9" s="9">
        <f t="shared" si="4"/>
        <v>1.7734375</v>
      </c>
      <c r="E9" s="5">
        <f t="shared" si="5"/>
        <v>-8.2085517878812908E-2</v>
      </c>
      <c r="F9" s="5">
        <f t="shared" si="6"/>
        <v>5.7561880955994127E-3</v>
      </c>
      <c r="G9" s="5">
        <f t="shared" si="7"/>
        <v>-3.8498954300466792E-2</v>
      </c>
      <c r="H9" s="5">
        <f t="shared" si="8"/>
        <v>3.1602066015465678E-3</v>
      </c>
      <c r="I9" s="5">
        <f t="shared" si="9"/>
        <v>1.5625E-2</v>
      </c>
    </row>
    <row r="10" spans="1:9" x14ac:dyDescent="0.25">
      <c r="A10" s="15">
        <f t="shared" si="1"/>
        <v>7</v>
      </c>
      <c r="B10" s="5">
        <f t="shared" si="2"/>
        <v>1.7734375</v>
      </c>
      <c r="C10" s="5">
        <f t="shared" si="3"/>
        <v>1.78125</v>
      </c>
      <c r="D10" s="9">
        <f t="shared" si="4"/>
        <v>1.77734375</v>
      </c>
      <c r="E10" s="5">
        <f t="shared" si="5"/>
        <v>-3.8498954300466792E-2</v>
      </c>
      <c r="F10" s="5">
        <f t="shared" si="6"/>
        <v>5.7561880955994127E-3</v>
      </c>
      <c r="G10" s="5">
        <f t="shared" si="7"/>
        <v>-1.6455143251628002E-2</v>
      </c>
      <c r="H10" s="5">
        <f t="shared" si="8"/>
        <v>6.3350580805206095E-4</v>
      </c>
      <c r="I10" s="5">
        <f t="shared" si="9"/>
        <v>7.8125E-3</v>
      </c>
    </row>
    <row r="11" spans="1:9" x14ac:dyDescent="0.25">
      <c r="A11" s="15">
        <f t="shared" si="1"/>
        <v>8</v>
      </c>
      <c r="B11" s="5">
        <f t="shared" si="2"/>
        <v>1.77734375</v>
      </c>
      <c r="C11" s="5">
        <f t="shared" si="3"/>
        <v>1.78125</v>
      </c>
      <c r="D11" s="9">
        <f t="shared" si="4"/>
        <v>1.779296875</v>
      </c>
      <c r="E11" s="5">
        <f t="shared" si="5"/>
        <v>-1.6455143251628002E-2</v>
      </c>
      <c r="F11" s="5">
        <f t="shared" si="6"/>
        <v>5.7561880955994127E-3</v>
      </c>
      <c r="G11" s="5">
        <f t="shared" si="7"/>
        <v>-5.3704410824852999E-3</v>
      </c>
      <c r="H11" s="5">
        <f t="shared" si="8"/>
        <v>8.8371377336723768E-5</v>
      </c>
      <c r="I11" s="5">
        <f t="shared" si="9"/>
        <v>3.90625E-3</v>
      </c>
    </row>
    <row r="12" spans="1:9" x14ac:dyDescent="0.25">
      <c r="A12" s="15">
        <f t="shared" si="1"/>
        <v>9</v>
      </c>
      <c r="B12" s="5">
        <f t="shared" si="2"/>
        <v>1.779296875</v>
      </c>
      <c r="C12" s="5">
        <f t="shared" si="3"/>
        <v>1.78125</v>
      </c>
      <c r="D12" s="9">
        <f t="shared" si="4"/>
        <v>1.7802734375</v>
      </c>
      <c r="E12" s="5">
        <f t="shared" si="5"/>
        <v>-5.3704410824852999E-3</v>
      </c>
      <c r="F12" s="5">
        <f t="shared" si="6"/>
        <v>5.7561880955994127E-3</v>
      </c>
      <c r="G12" s="5">
        <f t="shared" si="7"/>
        <v>1.8762969750696357E-4</v>
      </c>
      <c r="H12" s="5">
        <f t="shared" si="8"/>
        <v>-1.0076542357856868E-6</v>
      </c>
      <c r="I12" s="5">
        <f t="shared" si="9"/>
        <v>1.953125E-3</v>
      </c>
    </row>
    <row r="13" spans="1:9" x14ac:dyDescent="0.25">
      <c r="A13" s="15">
        <f t="shared" si="1"/>
        <v>10</v>
      </c>
      <c r="B13" s="5">
        <f t="shared" si="2"/>
        <v>1.779296875</v>
      </c>
      <c r="C13" s="5">
        <f t="shared" si="3"/>
        <v>1.7802734375</v>
      </c>
      <c r="D13" s="9">
        <f t="shared" si="4"/>
        <v>1.77978515625</v>
      </c>
      <c r="E13" s="5">
        <f t="shared" si="5"/>
        <v>-5.3704410824852999E-3</v>
      </c>
      <c r="F13" s="5">
        <f t="shared" si="6"/>
        <v>1.8762969750696357E-4</v>
      </c>
      <c r="G13" s="5">
        <f t="shared" si="7"/>
        <v>-2.5927162781558266E-3</v>
      </c>
      <c r="H13" s="5">
        <f t="shared" si="8"/>
        <v>1.3924030015436435E-5</v>
      </c>
      <c r="I13" s="5">
        <f t="shared" si="9"/>
        <v>9.765625E-4</v>
      </c>
    </row>
    <row r="14" spans="1:9" x14ac:dyDescent="0.25">
      <c r="A14" s="15">
        <f t="shared" si="1"/>
        <v>11</v>
      </c>
      <c r="B14" s="5">
        <f t="shared" si="2"/>
        <v>1.77978515625</v>
      </c>
      <c r="C14" s="5">
        <f t="shared" si="3"/>
        <v>1.7802734375</v>
      </c>
      <c r="D14" s="9">
        <f t="shared" si="4"/>
        <v>1.780029296875</v>
      </c>
      <c r="E14" s="5">
        <f t="shared" si="5"/>
        <v>-2.5927162781558266E-3</v>
      </c>
      <c r="F14" s="5">
        <f t="shared" si="6"/>
        <v>1.8762969750696357E-4</v>
      </c>
      <c r="G14" s="5">
        <f t="shared" si="7"/>
        <v>-1.2028709825662176E-3</v>
      </c>
      <c r="H14" s="5">
        <f t="shared" si="8"/>
        <v>3.1187031770207259E-6</v>
      </c>
      <c r="I14" s="5">
        <f t="shared" si="9"/>
        <v>4.8828125E-4</v>
      </c>
    </row>
    <row r="15" spans="1:9" x14ac:dyDescent="0.25">
      <c r="A15" s="15">
        <f t="shared" si="1"/>
        <v>12</v>
      </c>
      <c r="B15" s="5">
        <f t="shared" si="2"/>
        <v>1.780029296875</v>
      </c>
      <c r="C15" s="5">
        <f t="shared" si="3"/>
        <v>1.7802734375</v>
      </c>
      <c r="D15" s="9">
        <f t="shared" si="4"/>
        <v>1.7801513671875</v>
      </c>
      <c r="E15" s="5">
        <f t="shared" si="5"/>
        <v>-1.2028709825662176E-3</v>
      </c>
      <c r="F15" s="5">
        <f t="shared" si="6"/>
        <v>1.8762969750696357E-4</v>
      </c>
      <c r="G15" s="5">
        <f t="shared" si="7"/>
        <v>-5.0770257131826924E-4</v>
      </c>
      <c r="H15" s="5">
        <f t="shared" si="8"/>
        <v>6.107006908130017E-7</v>
      </c>
      <c r="I15" s="5">
        <f t="shared" si="9"/>
        <v>2.44140625E-4</v>
      </c>
    </row>
    <row r="16" spans="1:9" x14ac:dyDescent="0.25">
      <c r="A16" s="15">
        <f t="shared" si="1"/>
        <v>13</v>
      </c>
      <c r="B16" s="5">
        <f t="shared" si="2"/>
        <v>1.7801513671875</v>
      </c>
      <c r="C16" s="5">
        <f t="shared" si="3"/>
        <v>1.7802734375</v>
      </c>
      <c r="D16" s="9">
        <f t="shared" si="4"/>
        <v>1.78021240234375</v>
      </c>
      <c r="E16" s="5">
        <f t="shared" si="5"/>
        <v>-5.0770257131826924E-4</v>
      </c>
      <c r="F16" s="5">
        <f t="shared" si="6"/>
        <v>1.8762969750696357E-4</v>
      </c>
      <c r="G16" s="5">
        <f t="shared" si="7"/>
        <v>-1.6005691981924031E-4</v>
      </c>
      <c r="H16" s="5">
        <f t="shared" si="8"/>
        <v>8.126130974951035E-8</v>
      </c>
      <c r="I16" s="5">
        <f t="shared" si="9"/>
        <v>1.220703125E-4</v>
      </c>
    </row>
    <row r="17" spans="1:9" x14ac:dyDescent="0.25">
      <c r="A17" s="15">
        <f t="shared" si="1"/>
        <v>14</v>
      </c>
      <c r="B17" s="5">
        <f t="shared" si="2"/>
        <v>1.78021240234375</v>
      </c>
      <c r="C17" s="5">
        <f t="shared" si="3"/>
        <v>1.7802734375</v>
      </c>
      <c r="D17" s="9">
        <f t="shared" si="4"/>
        <v>1.780242919921875</v>
      </c>
      <c r="E17" s="5">
        <f t="shared" si="5"/>
        <v>-1.6005691981924031E-4</v>
      </c>
      <c r="F17" s="5">
        <f t="shared" si="6"/>
        <v>1.8762969750696357E-4</v>
      </c>
      <c r="G17" s="5">
        <f t="shared" si="7"/>
        <v>1.3781268026313853E-5</v>
      </c>
      <c r="H17" s="5">
        <f t="shared" si="8"/>
        <v>-2.2057873114951764E-9</v>
      </c>
      <c r="I17" s="5">
        <f t="shared" si="9"/>
        <v>6.103515625E-5</v>
      </c>
    </row>
    <row r="18" spans="1:9" x14ac:dyDescent="0.25">
      <c r="D18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H2" sqref="H2"/>
    </sheetView>
  </sheetViews>
  <sheetFormatPr baseColWidth="10" defaultRowHeight="15" x14ac:dyDescent="0.25"/>
  <sheetData>
    <row r="1" spans="1:7" ht="48" x14ac:dyDescent="0.25">
      <c r="A1" s="17" t="s">
        <v>44</v>
      </c>
    </row>
    <row r="2" spans="1:7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32</v>
      </c>
      <c r="G2" s="12"/>
    </row>
    <row r="3" spans="1:7" x14ac:dyDescent="0.25">
      <c r="A3" s="16">
        <v>0</v>
      </c>
      <c r="B3" s="5">
        <v>1.5</v>
      </c>
      <c r="C3" s="5">
        <f>B3^3 - (B3^2)*EXP(-0.5*B3) - 3*B3 + 1</f>
        <v>-1.1878247436672833</v>
      </c>
      <c r="D3" s="5">
        <f>3*B3^2 - 3 + EXP(-0.5*B3)*(0.5*B3^2 - 2*B3)</f>
        <v>2.8643127136105972</v>
      </c>
      <c r="E3" s="5">
        <f>B3 - C3/D3</f>
        <v>1.9146979964942361</v>
      </c>
      <c r="F3" s="5">
        <f>ABS(E3-B3)</f>
        <v>0.41469799649423611</v>
      </c>
    </row>
    <row r="4" spans="1:7" x14ac:dyDescent="0.25">
      <c r="A4" s="16">
        <f>A3+1</f>
        <v>1</v>
      </c>
      <c r="B4" s="9">
        <f>E3</f>
        <v>1.9146979964942361</v>
      </c>
      <c r="C4" s="5">
        <f>B4^3 - (B4^2)*EXP(-0.5*B4) - 3*B4 + 1</f>
        <v>0.86788216982205491</v>
      </c>
      <c r="D4" s="5">
        <f>3*B4^2 - 3 + EXP(-0.5*B4)*(0.5*B4^2 - 2*B4)</f>
        <v>7.231783433540647</v>
      </c>
      <c r="E4" s="5">
        <f>B4 - C4/D4</f>
        <v>1.7946885717378391</v>
      </c>
      <c r="F4" s="5">
        <f>ABS(E4-B4)</f>
        <v>0.12000942475639698</v>
      </c>
    </row>
    <row r="5" spans="1:7" x14ac:dyDescent="0.25">
      <c r="A5" s="16">
        <f t="shared" ref="A5:A8" si="0">A4+1</f>
        <v>2</v>
      </c>
      <c r="B5" s="9">
        <f t="shared" ref="B5:B8" si="1">E4</f>
        <v>1.7946885717378391</v>
      </c>
      <c r="C5" s="5">
        <f t="shared" ref="C5:C8" si="2">B5^3 - (B5^2)*EXP(-0.5*B5) - 3*B5 + 1</f>
        <v>8.3453960798730797E-2</v>
      </c>
      <c r="D5" s="5">
        <f t="shared" ref="D5:D8" si="3">3*B5^2 - 3 + EXP(-0.5*B5)*(0.5*B5^2 - 2*B5)</f>
        <v>5.8560113618647813</v>
      </c>
      <c r="E5" s="5">
        <f t="shared" ref="E5:E8" si="4">B5 - C5/D5</f>
        <v>1.7804375814917828</v>
      </c>
      <c r="F5" s="5">
        <f t="shared" ref="F5:F8" si="5">ABS(E5-B5)</f>
        <v>1.4250990246056361E-2</v>
      </c>
    </row>
    <row r="6" spans="1:7" x14ac:dyDescent="0.25">
      <c r="A6" s="16">
        <f t="shared" si="0"/>
        <v>3</v>
      </c>
      <c r="B6" s="9">
        <f t="shared" si="1"/>
        <v>1.7804375814917828</v>
      </c>
      <c r="C6" s="5">
        <f t="shared" si="2"/>
        <v>1.1228787822954445E-3</v>
      </c>
      <c r="D6" s="5">
        <f t="shared" si="3"/>
        <v>5.6986383250784245</v>
      </c>
      <c r="E6" s="5">
        <f t="shared" si="4"/>
        <v>1.7802405381424349</v>
      </c>
      <c r="F6" s="5">
        <f t="shared" si="5"/>
        <v>1.9704334934789181E-4</v>
      </c>
    </row>
    <row r="7" spans="1:7" x14ac:dyDescent="0.25">
      <c r="A7" s="16">
        <f t="shared" si="0"/>
        <v>4</v>
      </c>
      <c r="B7" s="9">
        <f t="shared" si="1"/>
        <v>1.7802405381424349</v>
      </c>
      <c r="C7" s="5">
        <f t="shared" si="2"/>
        <v>2.1349850332086362E-7</v>
      </c>
      <c r="D7" s="5">
        <f t="shared" si="3"/>
        <v>5.6964713451848441</v>
      </c>
      <c r="E7" s="5">
        <f t="shared" si="4"/>
        <v>1.7802405006633553</v>
      </c>
      <c r="F7" s="5">
        <f t="shared" si="5"/>
        <v>3.7479079617597222E-8</v>
      </c>
    </row>
    <row r="8" spans="1:7" x14ac:dyDescent="0.25">
      <c r="A8" s="16">
        <f t="shared" si="0"/>
        <v>5</v>
      </c>
      <c r="B8" s="9">
        <f t="shared" si="1"/>
        <v>1.7802405006633553</v>
      </c>
      <c r="C8" s="5">
        <f t="shared" si="2"/>
        <v>7.9936057773011271E-15</v>
      </c>
      <c r="D8" s="5">
        <f t="shared" si="3"/>
        <v>5.6964709330327503</v>
      </c>
      <c r="E8" s="5">
        <f t="shared" si="4"/>
        <v>1.7802405006633539</v>
      </c>
      <c r="F8" s="5">
        <f t="shared" si="5"/>
        <v>1.3322676295501878E-15</v>
      </c>
    </row>
    <row r="9" spans="1:7" x14ac:dyDescent="0.25">
      <c r="B9" s="14"/>
    </row>
    <row r="10" spans="1:7" x14ac:dyDescent="0.25">
      <c r="B10" s="14"/>
    </row>
    <row r="11" spans="1:7" x14ac:dyDescent="0.25">
      <c r="B11" s="14"/>
    </row>
    <row r="12" spans="1:7" x14ac:dyDescent="0.25">
      <c r="B12" s="14"/>
    </row>
    <row r="13" spans="1:7" x14ac:dyDescent="0.25">
      <c r="B13" s="14"/>
    </row>
    <row r="14" spans="1:7" x14ac:dyDescent="0.25">
      <c r="B14" s="14"/>
    </row>
    <row r="15" spans="1:7" x14ac:dyDescent="0.25">
      <c r="B15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3" sqref="F3"/>
    </sheetView>
  </sheetViews>
  <sheetFormatPr baseColWidth="10" defaultRowHeight="15" x14ac:dyDescent="0.25"/>
  <sheetData>
    <row r="1" spans="1:7" x14ac:dyDescent="0.25">
      <c r="A1" t="s">
        <v>45</v>
      </c>
      <c r="C1" t="s">
        <v>42</v>
      </c>
    </row>
    <row r="2" spans="1:7" x14ac:dyDescent="0.25">
      <c r="A2" s="4" t="s">
        <v>33</v>
      </c>
      <c r="B2" s="4" t="s">
        <v>40</v>
      </c>
      <c r="C2" s="4" t="s">
        <v>34</v>
      </c>
      <c r="D2" s="4" t="s">
        <v>41</v>
      </c>
      <c r="E2" s="4" t="s">
        <v>35</v>
      </c>
      <c r="F2" s="4" t="s">
        <v>37</v>
      </c>
      <c r="G2" s="4" t="s">
        <v>32</v>
      </c>
    </row>
    <row r="3" spans="1:7" x14ac:dyDescent="0.25">
      <c r="A3" s="16">
        <v>0</v>
      </c>
      <c r="B3" s="5">
        <v>1</v>
      </c>
      <c r="C3" s="5">
        <v>2</v>
      </c>
      <c r="D3" s="5">
        <f>B3^3 - (B3^2)*EXP(-0.5*B3) - 3*B3 + 1</f>
        <v>-1.6065306597126332</v>
      </c>
      <c r="E3" s="5">
        <f>C3^3 - (C3^2)*EXP(-0.5*C3) - 3*C3 + 1</f>
        <v>1.5284822353142307</v>
      </c>
      <c r="F3" s="5">
        <f>C3 - E3*(C3-B3)/(E3-D3)</f>
        <v>1.5124478633759708</v>
      </c>
      <c r="G3" s="5">
        <f>ABS(F3-C3)</f>
        <v>0.48755213662402919</v>
      </c>
    </row>
    <row r="4" spans="1:7" x14ac:dyDescent="0.25">
      <c r="A4" s="16">
        <f>A3+1</f>
        <v>1</v>
      </c>
      <c r="B4" s="9">
        <f>C3</f>
        <v>2</v>
      </c>
      <c r="C4" s="5">
        <f>F3</f>
        <v>1.5124478633759708</v>
      </c>
      <c r="D4" s="5">
        <f>B4^3 - (B4^2)*EXP(-0.5*B4) - 3*B4 + 1</f>
        <v>1.5284822353142307</v>
      </c>
      <c r="E4" s="5">
        <f>C4^3 - (C4^2)*EXP(-0.5*C4) - 3*C4 + 1</f>
        <v>-1.1514548029317089</v>
      </c>
      <c r="F4" s="5">
        <f>C4 - E4*(C4-B4)/(E4-D4)</f>
        <v>1.7219282509311935</v>
      </c>
      <c r="G4" s="5">
        <f>ABS(F4-C4)</f>
        <v>0.20948038755522269</v>
      </c>
    </row>
    <row r="5" spans="1:7" x14ac:dyDescent="0.25">
      <c r="A5" s="16">
        <f t="shared" ref="A5:A9" si="0">A4+1</f>
        <v>2</v>
      </c>
      <c r="B5" s="9">
        <f t="shared" ref="B5:B9" si="1">C4</f>
        <v>1.5124478633759708</v>
      </c>
      <c r="C5" s="5">
        <f t="shared" ref="C5:C9" si="2">F4</f>
        <v>1.7219282509311935</v>
      </c>
      <c r="D5" s="5">
        <f t="shared" ref="D5:D9" si="3">B5^3 - (B5^2)*EXP(-0.5*B5) - 3*B5 + 1</f>
        <v>-1.1514548029317089</v>
      </c>
      <c r="E5" s="5">
        <f t="shared" ref="E5:E9" si="4">C5^3 - (C5^2)*EXP(-0.5*C5) - 3*C5 + 1</f>
        <v>-0.31368603985038401</v>
      </c>
      <c r="F5" s="5">
        <f t="shared" ref="F5:F9" si="5">C5 - E5*(C5-B5)/(E5-D5)</f>
        <v>1.8003640629288087</v>
      </c>
      <c r="G5" s="5">
        <f t="shared" ref="G5:G9" si="6">ABS(F5-C5)</f>
        <v>7.8435811997615179E-2</v>
      </c>
    </row>
    <row r="6" spans="1:7" x14ac:dyDescent="0.25">
      <c r="A6" s="16">
        <f t="shared" si="0"/>
        <v>3</v>
      </c>
      <c r="B6" s="9">
        <f t="shared" si="1"/>
        <v>1.7219282509311935</v>
      </c>
      <c r="C6" s="5">
        <f t="shared" si="2"/>
        <v>1.8003640629288087</v>
      </c>
      <c r="D6" s="5">
        <f t="shared" si="3"/>
        <v>-0.31368603985038401</v>
      </c>
      <c r="E6" s="5">
        <f t="shared" si="4"/>
        <v>0.11686846884061541</v>
      </c>
      <c r="F6" s="5">
        <f t="shared" si="5"/>
        <v>1.7790736732908026</v>
      </c>
      <c r="G6" s="5">
        <f t="shared" si="6"/>
        <v>2.1290389638006113E-2</v>
      </c>
    </row>
    <row r="7" spans="1:7" x14ac:dyDescent="0.25">
      <c r="A7" s="16">
        <f t="shared" si="0"/>
        <v>4</v>
      </c>
      <c r="B7" s="9">
        <f t="shared" si="1"/>
        <v>1.8003640629288087</v>
      </c>
      <c r="C7" s="5">
        <f t="shared" si="2"/>
        <v>1.7790736732908026</v>
      </c>
      <c r="D7" s="5">
        <f t="shared" si="3"/>
        <v>0.11686846884061541</v>
      </c>
      <c r="E7" s="5">
        <f t="shared" si="4"/>
        <v>-6.6393138449374334E-3</v>
      </c>
      <c r="F7" s="5">
        <f t="shared" si="5"/>
        <v>1.780218164557783</v>
      </c>
      <c r="G7" s="5">
        <f t="shared" si="6"/>
        <v>1.144491266980463E-3</v>
      </c>
    </row>
    <row r="8" spans="1:7" x14ac:dyDescent="0.25">
      <c r="A8" s="16">
        <f t="shared" si="0"/>
        <v>5</v>
      </c>
      <c r="B8" s="9">
        <f t="shared" si="1"/>
        <v>1.7790736732908026</v>
      </c>
      <c r="C8" s="5">
        <f t="shared" si="2"/>
        <v>1.780218164557783</v>
      </c>
      <c r="D8" s="5">
        <f t="shared" si="3"/>
        <v>-6.6393138449374334E-3</v>
      </c>
      <c r="E8" s="5">
        <f t="shared" si="4"/>
        <v>-1.2723423297789083E-4</v>
      </c>
      <c r="F8" s="5">
        <f t="shared" si="5"/>
        <v>1.780240525842838</v>
      </c>
      <c r="G8" s="5">
        <f t="shared" si="6"/>
        <v>2.2361285054950386E-5</v>
      </c>
    </row>
    <row r="9" spans="1:7" x14ac:dyDescent="0.25">
      <c r="A9" s="16">
        <f t="shared" si="0"/>
        <v>6</v>
      </c>
      <c r="B9" s="9">
        <f t="shared" si="1"/>
        <v>1.780218164557783</v>
      </c>
      <c r="C9" s="5">
        <f t="shared" si="2"/>
        <v>1.780240525842838</v>
      </c>
      <c r="D9" s="5">
        <f t="shared" si="3"/>
        <v>-1.2723423297789083E-4</v>
      </c>
      <c r="E9" s="5">
        <f t="shared" si="4"/>
        <v>1.4343420229323556E-7</v>
      </c>
      <c r="F9" s="5">
        <f t="shared" si="5"/>
        <v>1.780240500662811</v>
      </c>
      <c r="G9" s="5">
        <f t="shared" si="6"/>
        <v>2.5180026952398293E-8</v>
      </c>
    </row>
    <row r="10" spans="1:7" x14ac:dyDescent="0.25">
      <c r="B10" s="14"/>
    </row>
    <row r="11" spans="1:7" x14ac:dyDescent="0.25">
      <c r="B11" s="14"/>
    </row>
    <row r="12" spans="1:7" x14ac:dyDescent="0.25">
      <c r="B12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22" sqref="I22"/>
    </sheetView>
  </sheetViews>
  <sheetFormatPr baseColWidth="10" defaultRowHeight="15" x14ac:dyDescent="0.25"/>
  <sheetData>
    <row r="1" spans="1:9" x14ac:dyDescent="0.25">
      <c r="A1" t="s">
        <v>49</v>
      </c>
      <c r="C1" t="s">
        <v>20</v>
      </c>
    </row>
    <row r="2" spans="1:9" x14ac:dyDescent="0.25">
      <c r="A2" s="7" t="s">
        <v>10</v>
      </c>
      <c r="B2" s="8" t="s">
        <v>3</v>
      </c>
      <c r="C2" s="8" t="s">
        <v>4</v>
      </c>
      <c r="D2" s="8" t="s">
        <v>27</v>
      </c>
      <c r="E2" s="8" t="s">
        <v>28</v>
      </c>
      <c r="F2" s="8" t="s">
        <v>29</v>
      </c>
      <c r="G2" s="8" t="s">
        <v>30</v>
      </c>
      <c r="H2" s="7" t="s">
        <v>31</v>
      </c>
      <c r="I2" s="8" t="s">
        <v>32</v>
      </c>
    </row>
    <row r="3" spans="1:9" x14ac:dyDescent="0.25">
      <c r="A3" s="16">
        <v>0</v>
      </c>
      <c r="B3" s="5">
        <v>3.6</v>
      </c>
      <c r="C3" s="5">
        <v>3.8</v>
      </c>
      <c r="D3" s="5">
        <f>(B3+C3)/2</f>
        <v>3.7</v>
      </c>
      <c r="E3" s="5">
        <f t="shared" ref="E3:G4" si="0">(COS(B3))^2 - 0.5*B3*EXP(0.3*B3) + 5</f>
        <v>0.50375246534818441</v>
      </c>
      <c r="F3" s="5">
        <f t="shared" si="0"/>
        <v>-0.31522997256256691</v>
      </c>
      <c r="G3" s="5">
        <f t="shared" si="0"/>
        <v>0.10571063408119485</v>
      </c>
      <c r="H3" s="5">
        <f>E3*G3</f>
        <v>5.3251992531921713E-2</v>
      </c>
      <c r="I3" s="5">
        <f>ABS(C3-B3)</f>
        <v>0.19999999999999973</v>
      </c>
    </row>
    <row r="4" spans="1:9" x14ac:dyDescent="0.25">
      <c r="A4" s="16">
        <f>A3+1</f>
        <v>1</v>
      </c>
      <c r="B4" s="5">
        <f>IF(H3&lt;0, B3, D3)</f>
        <v>3.7</v>
      </c>
      <c r="C4" s="5">
        <f>IF(H3&lt;0, D3, C3)</f>
        <v>3.8</v>
      </c>
      <c r="D4" s="5">
        <f>(B4+C4)/2</f>
        <v>3.75</v>
      </c>
      <c r="E4" s="5">
        <f t="shared" si="0"/>
        <v>0.10571063408119485</v>
      </c>
      <c r="F4" s="5">
        <f t="shared" si="0"/>
        <v>-0.31522997256256691</v>
      </c>
      <c r="G4" s="5">
        <f t="shared" si="0"/>
        <v>-0.10208893280379527</v>
      </c>
      <c r="H4" s="5">
        <f>E4*G4</f>
        <v>-1.0791885819361692E-2</v>
      </c>
      <c r="I4" s="5">
        <f>ABS(C4-B4)</f>
        <v>9.9999999999999645E-2</v>
      </c>
    </row>
    <row r="5" spans="1:9" x14ac:dyDescent="0.25">
      <c r="A5" s="16">
        <f t="shared" ref="A5:A11" si="1">A4+1</f>
        <v>2</v>
      </c>
      <c r="B5" s="5">
        <f t="shared" ref="B5:B11" si="2">IF(H4&lt;0, B4, D4)</f>
        <v>3.7</v>
      </c>
      <c r="C5" s="5">
        <f t="shared" ref="C5:C11" si="3">IF(H4&lt;0, D4, C4)</f>
        <v>3.75</v>
      </c>
      <c r="D5" s="5">
        <f t="shared" ref="D5:D11" si="4">(B5+C5)/2</f>
        <v>3.7250000000000001</v>
      </c>
      <c r="E5" s="5">
        <f t="shared" ref="E5:E11" si="5">(COS(B5))^2 - 0.5*B5*EXP(0.3*B5) + 5</f>
        <v>0.10571063408119485</v>
      </c>
      <c r="F5" s="5">
        <f t="shared" ref="F5:F11" si="6">(COS(C5))^2 - 0.5*C5*EXP(0.3*C5) + 5</f>
        <v>-0.10208893280379527</v>
      </c>
      <c r="G5" s="5">
        <f t="shared" ref="G5:G11" si="7">(COS(D5))^2 - 0.5*D5*EXP(0.3*D5) + 5</f>
        <v>2.5032369801625265E-3</v>
      </c>
      <c r="H5" s="5">
        <f t="shared" ref="H5:H11" si="8">E5*G5</f>
        <v>2.6461876842847606E-4</v>
      </c>
      <c r="I5" s="5">
        <f t="shared" ref="I5:I11" si="9">ABS(C5-B5)</f>
        <v>4.9999999999999822E-2</v>
      </c>
    </row>
    <row r="6" spans="1:9" x14ac:dyDescent="0.25">
      <c r="A6" s="16">
        <f t="shared" si="1"/>
        <v>3</v>
      </c>
      <c r="B6" s="5">
        <f t="shared" si="2"/>
        <v>3.7250000000000001</v>
      </c>
      <c r="C6" s="5">
        <f t="shared" si="3"/>
        <v>3.75</v>
      </c>
      <c r="D6" s="5">
        <f t="shared" si="4"/>
        <v>3.7374999999999998</v>
      </c>
      <c r="E6" s="5">
        <f t="shared" si="5"/>
        <v>2.5032369801625265E-3</v>
      </c>
      <c r="F6" s="5">
        <f t="shared" si="6"/>
        <v>-0.10208893280379527</v>
      </c>
      <c r="G6" s="5">
        <f t="shared" si="7"/>
        <v>-4.9622798338019969E-2</v>
      </c>
      <c r="H6" s="5">
        <f t="shared" si="8"/>
        <v>-1.2421762385887914E-4</v>
      </c>
      <c r="I6" s="5">
        <f t="shared" si="9"/>
        <v>2.4999999999999911E-2</v>
      </c>
    </row>
    <row r="7" spans="1:9" x14ac:dyDescent="0.25">
      <c r="A7" s="16">
        <f t="shared" si="1"/>
        <v>4</v>
      </c>
      <c r="B7" s="5">
        <f t="shared" si="2"/>
        <v>3.7250000000000001</v>
      </c>
      <c r="C7" s="5">
        <f t="shared" si="3"/>
        <v>3.7374999999999998</v>
      </c>
      <c r="D7" s="5">
        <f t="shared" si="4"/>
        <v>3.7312500000000002</v>
      </c>
      <c r="E7" s="5">
        <f t="shared" si="5"/>
        <v>2.5032369801625265E-3</v>
      </c>
      <c r="F7" s="5">
        <f t="shared" si="6"/>
        <v>-4.9622798338019969E-2</v>
      </c>
      <c r="G7" s="5">
        <f t="shared" si="7"/>
        <v>-2.3516884664720905E-2</v>
      </c>
      <c r="H7" s="5">
        <f t="shared" si="8"/>
        <v>-5.8868335350946386E-5</v>
      </c>
      <c r="I7" s="5">
        <f t="shared" si="9"/>
        <v>1.2499999999999734E-2</v>
      </c>
    </row>
    <row r="8" spans="1:9" x14ac:dyDescent="0.25">
      <c r="A8" s="16">
        <f t="shared" si="1"/>
        <v>5</v>
      </c>
      <c r="B8" s="5">
        <f t="shared" si="2"/>
        <v>3.7250000000000001</v>
      </c>
      <c r="C8" s="5">
        <f t="shared" si="3"/>
        <v>3.7312500000000002</v>
      </c>
      <c r="D8" s="5">
        <f t="shared" si="4"/>
        <v>3.7281250000000004</v>
      </c>
      <c r="E8" s="5">
        <f t="shared" si="5"/>
        <v>2.5032369801625265E-3</v>
      </c>
      <c r="F8" s="5">
        <f t="shared" si="6"/>
        <v>-2.3516884664720905E-2</v>
      </c>
      <c r="G8" s="5">
        <f t="shared" si="7"/>
        <v>-1.0496052119297161E-2</v>
      </c>
      <c r="H8" s="5">
        <f t="shared" si="8"/>
        <v>-2.6274105810737911E-5</v>
      </c>
      <c r="I8" s="5">
        <f t="shared" si="9"/>
        <v>6.2500000000000888E-3</v>
      </c>
    </row>
    <row r="9" spans="1:9" x14ac:dyDescent="0.25">
      <c r="A9" s="16">
        <f t="shared" si="1"/>
        <v>6</v>
      </c>
      <c r="B9" s="5">
        <f t="shared" si="2"/>
        <v>3.7250000000000001</v>
      </c>
      <c r="C9" s="5">
        <f t="shared" si="3"/>
        <v>3.7281250000000004</v>
      </c>
      <c r="D9" s="5">
        <f t="shared" si="4"/>
        <v>3.7265625</v>
      </c>
      <c r="E9" s="5">
        <f t="shared" si="5"/>
        <v>2.5032369801625265E-3</v>
      </c>
      <c r="F9" s="5">
        <f t="shared" si="6"/>
        <v>-1.0496052119297161E-2</v>
      </c>
      <c r="G9" s="5">
        <f t="shared" si="7"/>
        <v>-3.9937086888297557E-3</v>
      </c>
      <c r="H9" s="5">
        <f t="shared" si="8"/>
        <v>-9.9971992778750405E-6</v>
      </c>
      <c r="I9" s="5">
        <f t="shared" si="9"/>
        <v>3.1250000000002665E-3</v>
      </c>
    </row>
    <row r="10" spans="1:9" x14ac:dyDescent="0.25">
      <c r="A10" s="16">
        <f t="shared" si="1"/>
        <v>7</v>
      </c>
      <c r="B10" s="5">
        <f t="shared" si="2"/>
        <v>3.7250000000000001</v>
      </c>
      <c r="C10" s="5">
        <f t="shared" si="3"/>
        <v>3.7265625</v>
      </c>
      <c r="D10" s="5">
        <f t="shared" si="4"/>
        <v>3.7257812499999998</v>
      </c>
      <c r="E10" s="5">
        <f t="shared" si="5"/>
        <v>2.5032369801625265E-3</v>
      </c>
      <c r="F10" s="5">
        <f t="shared" si="6"/>
        <v>-3.9937086888297557E-3</v>
      </c>
      <c r="G10" s="5">
        <f t="shared" si="7"/>
        <v>-7.4456039134407348E-4</v>
      </c>
      <c r="H10" s="5">
        <f t="shared" si="8"/>
        <v>-1.8638111055767674E-6</v>
      </c>
      <c r="I10" s="5">
        <f t="shared" si="9"/>
        <v>1.5624999999999112E-3</v>
      </c>
    </row>
    <row r="11" spans="1:9" x14ac:dyDescent="0.25">
      <c r="A11" s="16">
        <f t="shared" si="1"/>
        <v>8</v>
      </c>
      <c r="B11" s="5">
        <f t="shared" si="2"/>
        <v>3.7250000000000001</v>
      </c>
      <c r="C11" s="5">
        <f t="shared" si="3"/>
        <v>3.7257812499999998</v>
      </c>
      <c r="D11" s="5">
        <f t="shared" si="4"/>
        <v>3.7253906250000002</v>
      </c>
      <c r="E11" s="5">
        <f t="shared" si="5"/>
        <v>2.5032369801625265E-3</v>
      </c>
      <c r="F11" s="5">
        <f t="shared" si="6"/>
        <v>-7.4456039134407348E-4</v>
      </c>
      <c r="G11" s="5">
        <f t="shared" si="7"/>
        <v>8.7950725294572152E-4</v>
      </c>
      <c r="H11" s="5">
        <f t="shared" si="8"/>
        <v>2.2016150798948873E-6</v>
      </c>
      <c r="I11" s="5">
        <f t="shared" si="9"/>
        <v>7.8124999999973355E-4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2" sqref="H2"/>
    </sheetView>
  </sheetViews>
  <sheetFormatPr baseColWidth="10" defaultRowHeight="15" x14ac:dyDescent="0.25"/>
  <cols>
    <col min="4" max="4" width="11.85546875" bestFit="1" customWidth="1"/>
  </cols>
  <sheetData>
    <row r="1" spans="1:6" ht="48" x14ac:dyDescent="0.25">
      <c r="A1" s="17" t="s">
        <v>46</v>
      </c>
    </row>
    <row r="2" spans="1:6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32</v>
      </c>
    </row>
    <row r="3" spans="1:6" x14ac:dyDescent="0.25">
      <c r="A3" s="18">
        <v>0</v>
      </c>
      <c r="B3" s="5">
        <v>3.6</v>
      </c>
      <c r="C3" s="5">
        <f>(COS(B3))^2 - 0.5*B3*EXP(0.3*B3) + 5</f>
        <v>0.50375246534818441</v>
      </c>
      <c r="D3" s="5">
        <f>-SIN(2*B3) - 0.5*EXP(0.3*B3)*(1 + 0.3*B3)</f>
        <v>-3.8561345969572987</v>
      </c>
      <c r="E3" s="5">
        <f>B3 - C3/D3</f>
        <v>3.7306366395368236</v>
      </c>
      <c r="F3" s="5">
        <f>ABS(E3-B3)</f>
        <v>0.13063663953682347</v>
      </c>
    </row>
    <row r="4" spans="1:6" x14ac:dyDescent="0.25">
      <c r="A4" s="18">
        <f>1+A3</f>
        <v>1</v>
      </c>
      <c r="B4" s="5">
        <f>E3</f>
        <v>3.7306366395368236</v>
      </c>
      <c r="C4" s="5">
        <f>(COS(B4))^2 - 0.5*B4*EXP(0.3*B4) + 5</f>
        <v>-2.0959521488054911E-2</v>
      </c>
      <c r="D4" s="5">
        <f>-SIN(2*B4) - 0.5*EXP(0.3*B4)*(1 + 0.3*B4)</f>
        <v>-4.1687554971637182</v>
      </c>
      <c r="E4" s="5">
        <f>B4 - C4/D4</f>
        <v>3.7256088748952383</v>
      </c>
      <c r="F4" s="5">
        <f>ABS(E4-B4)</f>
        <v>5.027764641585275E-3</v>
      </c>
    </row>
    <row r="5" spans="1:6" x14ac:dyDescent="0.25">
      <c r="A5" s="18">
        <f t="shared" ref="A5:A7" si="0">1+A4</f>
        <v>2</v>
      </c>
      <c r="B5" s="5">
        <f t="shared" ref="B5:B7" si="1">E4</f>
        <v>3.7256088748952383</v>
      </c>
      <c r="C5" s="5">
        <f t="shared" ref="C5:C7" si="2">(COS(B5))^2 - 0.5*B5*EXP(0.3*B5) + 5</f>
        <v>-2.7849740533270051E-5</v>
      </c>
      <c r="D5" s="5">
        <f t="shared" ref="D5:D7" si="3">-SIN(2*B5) - 0.5*EXP(0.3*B5)*(1 + 0.3*B5)</f>
        <v>-4.1576639709611625</v>
      </c>
      <c r="E5" s="5">
        <f t="shared" ref="E5:E7" si="4">B5 - C5/D5</f>
        <v>3.7256021764846099</v>
      </c>
      <c r="F5" s="5">
        <f t="shared" ref="F5:F7" si="5">ABS(E5-B5)</f>
        <v>6.6984106283918265E-6</v>
      </c>
    </row>
    <row r="6" spans="1:6" x14ac:dyDescent="0.25">
      <c r="A6" s="18">
        <f t="shared" si="0"/>
        <v>3</v>
      </c>
      <c r="B6" s="5">
        <f t="shared" si="1"/>
        <v>3.7256021764846099</v>
      </c>
      <c r="C6" s="5">
        <f t="shared" si="2"/>
        <v>-4.9667825408050703E-11</v>
      </c>
      <c r="D6" s="5">
        <f t="shared" si="3"/>
        <v>-4.1576491413203911</v>
      </c>
      <c r="E6" s="5">
        <f t="shared" si="4"/>
        <v>3.7256021764726639</v>
      </c>
      <c r="F6" s="5">
        <f t="shared" si="5"/>
        <v>1.1945999744966684E-11</v>
      </c>
    </row>
    <row r="7" spans="1:6" x14ac:dyDescent="0.25">
      <c r="A7" s="18">
        <f t="shared" si="0"/>
        <v>4</v>
      </c>
      <c r="B7" s="5">
        <f t="shared" si="1"/>
        <v>3.7256021764726639</v>
      </c>
      <c r="C7" s="5">
        <f t="shared" si="2"/>
        <v>0</v>
      </c>
      <c r="D7" s="5">
        <f t="shared" si="3"/>
        <v>-4.1576491412939429</v>
      </c>
      <c r="E7" s="5">
        <f t="shared" si="4"/>
        <v>3.7256021764726639</v>
      </c>
      <c r="F7" s="5">
        <f t="shared" si="5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I4" sqref="I4"/>
    </sheetView>
  </sheetViews>
  <sheetFormatPr baseColWidth="10" defaultRowHeight="15" x14ac:dyDescent="0.25"/>
  <sheetData>
    <row r="1" spans="1:7" x14ac:dyDescent="0.25">
      <c r="A1" t="s">
        <v>45</v>
      </c>
      <c r="C1" t="s">
        <v>47</v>
      </c>
    </row>
    <row r="2" spans="1:7" x14ac:dyDescent="0.25">
      <c r="A2" s="4" t="s">
        <v>33</v>
      </c>
      <c r="B2" s="4" t="s">
        <v>40</v>
      </c>
      <c r="C2" s="4" t="s">
        <v>34</v>
      </c>
      <c r="D2" s="4" t="s">
        <v>41</v>
      </c>
      <c r="E2" s="4" t="s">
        <v>35</v>
      </c>
      <c r="F2" s="4" t="s">
        <v>37</v>
      </c>
      <c r="G2" s="4" t="s">
        <v>32</v>
      </c>
    </row>
    <row r="3" spans="1:7" x14ac:dyDescent="0.25">
      <c r="A3" s="19">
        <v>0</v>
      </c>
      <c r="B3" s="5">
        <v>3</v>
      </c>
      <c r="C3" s="5">
        <v>4</v>
      </c>
      <c r="D3" s="5">
        <f>(COS(B3))^2 - 0.5*B3*EXP(0.3*B3) + 5</f>
        <v>2.2906804765897588</v>
      </c>
      <c r="E3" s="5">
        <f>(COS(C3))^2 - 0.5*C3*EXP(0.3*C3) + 5</f>
        <v>-1.212983862377401</v>
      </c>
      <c r="F3" s="5">
        <f>C3 - E3*(C3-B3)/(E3-D3)</f>
        <v>3.6537956422118407</v>
      </c>
      <c r="G3" s="5">
        <f>ABS(F3-C3)</f>
        <v>0.34620435778815928</v>
      </c>
    </row>
    <row r="4" spans="1:7" x14ac:dyDescent="0.25">
      <c r="A4" s="19">
        <f>A3+1</f>
        <v>1</v>
      </c>
      <c r="B4" s="5">
        <f>C3</f>
        <v>4</v>
      </c>
      <c r="C4" s="9">
        <f>F3</f>
        <v>3.6537956422118407</v>
      </c>
      <c r="D4" s="5">
        <f>(COS(B4))^2 - 0.5*B4*EXP(0.3*B4) + 5</f>
        <v>-1.212983862377401</v>
      </c>
      <c r="E4" s="5">
        <f>(COS(C4))^2 - 0.5*C4*EXP(0.3*C4) + 5</f>
        <v>0.29265006210311029</v>
      </c>
      <c r="F4" s="5">
        <f>C4 - E4*(C4-B4)/(E4-D4)</f>
        <v>3.7210873823617776</v>
      </c>
      <c r="G4" s="5">
        <f>ABS(F4-C4)</f>
        <v>6.7291740149936885E-2</v>
      </c>
    </row>
    <row r="5" spans="1:7" x14ac:dyDescent="0.25">
      <c r="A5" s="19">
        <f t="shared" ref="A5:A7" si="0">A4+1</f>
        <v>2</v>
      </c>
      <c r="B5" s="5">
        <f t="shared" ref="B5:B7" si="1">C4</f>
        <v>3.6537956422118407</v>
      </c>
      <c r="C5" s="9">
        <f t="shared" ref="C5:C7" si="2">F4</f>
        <v>3.7210873823617776</v>
      </c>
      <c r="D5" s="5">
        <f t="shared" ref="D5:D7" si="3">(COS(B5))^2 - 0.5*B5*EXP(0.3*B5) + 5</f>
        <v>0.29265006210311029</v>
      </c>
      <c r="E5" s="5">
        <f t="shared" ref="E5:E7" si="4">(COS(C5))^2 - 0.5*C5*EXP(0.3*C5) + 5</f>
        <v>1.8748318639778994E-2</v>
      </c>
      <c r="F5" s="5">
        <f t="shared" ref="F5:F7" si="5">C5 - E5*(C5-B5)/(E5-D5)</f>
        <v>3.7256934391550054</v>
      </c>
      <c r="G5" s="5">
        <f t="shared" ref="G5:G7" si="6">ABS(F5-C5)</f>
        <v>4.6060567932277863E-3</v>
      </c>
    </row>
    <row r="6" spans="1:7" x14ac:dyDescent="0.25">
      <c r="A6" s="19">
        <f t="shared" si="0"/>
        <v>3</v>
      </c>
      <c r="B6" s="5">
        <f t="shared" si="1"/>
        <v>3.7210873823617776</v>
      </c>
      <c r="C6" s="9">
        <f t="shared" si="2"/>
        <v>3.7256934391550054</v>
      </c>
      <c r="D6" s="5">
        <f t="shared" si="3"/>
        <v>1.8748318639778994E-2</v>
      </c>
      <c r="E6" s="5">
        <f t="shared" si="4"/>
        <v>-3.794474321878738E-4</v>
      </c>
      <c r="F6" s="5">
        <f t="shared" si="5"/>
        <v>3.7256020664136131</v>
      </c>
      <c r="G6" s="5">
        <f t="shared" si="6"/>
        <v>9.1372741392259371E-5</v>
      </c>
    </row>
    <row r="7" spans="1:7" x14ac:dyDescent="0.25">
      <c r="A7" s="19">
        <f t="shared" si="0"/>
        <v>4</v>
      </c>
      <c r="B7" s="5">
        <f t="shared" si="1"/>
        <v>3.7256934391550054</v>
      </c>
      <c r="C7" s="9">
        <f t="shared" si="2"/>
        <v>3.7256020664136131</v>
      </c>
      <c r="D7" s="5">
        <f t="shared" si="3"/>
        <v>-3.794474321878738E-4</v>
      </c>
      <c r="E7" s="5">
        <f t="shared" si="4"/>
        <v>4.5758690347952324E-7</v>
      </c>
      <c r="F7" s="5">
        <f t="shared" si="5"/>
        <v>3.7256021764699896</v>
      </c>
      <c r="G7" s="5">
        <f t="shared" si="6"/>
        <v>1.1005637645666866E-7</v>
      </c>
    </row>
    <row r="8" spans="1:7" x14ac:dyDescent="0.25">
      <c r="C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Ejercicio1_B</vt:lpstr>
      <vt:lpstr>Ejercicio1_N</vt:lpstr>
      <vt:lpstr>Ejercicio1_S</vt:lpstr>
      <vt:lpstr>Ejercicio2_B</vt:lpstr>
      <vt:lpstr>Ejercicio2_N</vt:lpstr>
      <vt:lpstr>Ejercicio2_S</vt:lpstr>
      <vt:lpstr>Ejercicio3_B</vt:lpstr>
      <vt:lpstr>Ejercicio3_N</vt:lpstr>
      <vt:lpstr>Ejercicio3_S</vt:lpstr>
      <vt:lpstr>Ejercicio4_B</vt:lpstr>
      <vt:lpstr>Ejercicio4_N</vt:lpstr>
      <vt:lpstr>Ejercicio4_S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Wild_Hunter</dc:creator>
  <cp:lastModifiedBy>Wild_Hunter</cp:lastModifiedBy>
  <dcterms:created xsi:type="dcterms:W3CDTF">2025-11-26T00:44:38Z</dcterms:created>
  <dcterms:modified xsi:type="dcterms:W3CDTF">2025-11-26T21:29:12Z</dcterms:modified>
</cp:coreProperties>
</file>